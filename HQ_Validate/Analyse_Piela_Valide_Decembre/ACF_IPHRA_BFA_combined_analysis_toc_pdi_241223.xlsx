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24226"/>
  <xr:revisionPtr revIDLastSave="3" documentId="11_D4ABE5BA90E2AB9BB36D84CF2C375E8B9C36DD07" xr6:coauthVersionLast="47" xr6:coauthVersionMax="47" xr10:uidLastSave="{914225B6-8374-4F07-B4E3-AC6DF7950394}"/>
  <bookViews>
    <workbookView xWindow="-120" yWindow="-120" windowWidth="29040" windowHeight="15840" firstSheet="3" activeTab="3" xr2:uid="{00000000-000D-0000-FFFF-FFFF00000000}"/>
  </bookViews>
  <sheets>
    <sheet name="Table_of_content" sheetId="3" r:id="rId1"/>
    <sheet name="Data" sheetId="4" r:id="rId2"/>
    <sheet name="MUAC_MFAZ" sheetId="5" r:id="rId3"/>
    <sheet name="Result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C19" i="2"/>
  <c r="E18" i="2"/>
  <c r="C18" i="2"/>
  <c r="E17" i="2"/>
  <c r="C17" i="2"/>
  <c r="E16" i="2"/>
  <c r="C16" i="2"/>
  <c r="E15" i="2"/>
  <c r="C15" i="2"/>
  <c r="G15" i="2" s="1"/>
  <c r="G14" i="2"/>
  <c r="H14" i="2" s="1"/>
  <c r="F14" i="2"/>
  <c r="D14" i="2"/>
  <c r="G13" i="2"/>
  <c r="H13" i="2" s="1"/>
  <c r="F13" i="2"/>
  <c r="D13" i="2"/>
  <c r="G12" i="2"/>
  <c r="H12" i="2" s="1"/>
  <c r="F12" i="2"/>
  <c r="D12" i="2"/>
  <c r="G11" i="2"/>
  <c r="H11" i="2" s="1"/>
  <c r="H15" i="2" s="1"/>
  <c r="F11" i="2"/>
  <c r="F15" i="2" s="1"/>
  <c r="D11" i="2"/>
  <c r="D15" i="2" s="1"/>
  <c r="E10" i="2"/>
  <c r="E20" i="2" s="1"/>
  <c r="C10" i="2"/>
  <c r="G9" i="2"/>
  <c r="F9" i="2"/>
  <c r="D9" i="2"/>
  <c r="G8" i="2"/>
  <c r="F8" i="2"/>
  <c r="D8" i="2"/>
  <c r="G7" i="2"/>
  <c r="F7" i="2"/>
  <c r="D7" i="2"/>
  <c r="G6" i="2"/>
  <c r="F6" i="2"/>
  <c r="F10" i="2" s="1"/>
  <c r="D6" i="2"/>
  <c r="D10" i="2" s="1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20" i="2" l="1"/>
  <c r="G20" i="2" s="1"/>
  <c r="G10" i="2"/>
  <c r="J15" i="2"/>
  <c r="G16" i="2"/>
  <c r="H16" i="2" s="1"/>
  <c r="D16" i="2"/>
  <c r="F16" i="2"/>
  <c r="G17" i="2"/>
  <c r="H17" i="2" s="1"/>
  <c r="D17" i="2"/>
  <c r="F17" i="2"/>
  <c r="G18" i="2"/>
  <c r="H18" i="2" s="1"/>
  <c r="D18" i="2"/>
  <c r="F18" i="2"/>
  <c r="G19" i="2"/>
  <c r="H19" i="2" s="1"/>
  <c r="D19" i="2"/>
  <c r="F19" i="2"/>
  <c r="F20" i="2" l="1"/>
  <c r="D20" i="2"/>
  <c r="H20" i="2"/>
  <c r="H6" i="2"/>
  <c r="H7" i="2"/>
  <c r="I17" i="2" s="1"/>
  <c r="H8" i="2"/>
  <c r="I18" i="2" s="1"/>
  <c r="H9" i="2"/>
  <c r="I19" i="2" s="1"/>
  <c r="I16" i="2" l="1"/>
  <c r="H10" i="2"/>
  <c r="I20" i="2" s="1"/>
</calcChain>
</file>

<file path=xl/sharedStrings.xml><?xml version="1.0" encoding="utf-8"?>
<sst xmlns="http://schemas.openxmlformats.org/spreadsheetml/2006/main" count="1167" uniqueCount="511">
  <si>
    <t>Table of Content</t>
  </si>
  <si>
    <t>admin1_overall</t>
  </si>
  <si>
    <t>num_samples</t>
  </si>
  <si>
    <t>est</t>
  </si>
  <si>
    <t>100.0%</t>
  </si>
  <si>
    <t>admin2_overall</t>
  </si>
  <si>
    <t>tapoa</t>
  </si>
  <si>
    <t>admin3_overall</t>
  </si>
  <si>
    <t>piela</t>
  </si>
  <si>
    <t>admin4_overall</t>
  </si>
  <si>
    <t>age_group_overall</t>
  </si>
  <si>
    <t>00-02</t>
  </si>
  <si>
    <t>03-05</t>
  </si>
  <si>
    <t>06-10</t>
  </si>
  <si>
    <t>11-18</t>
  </si>
  <si>
    <t>19-59</t>
  </si>
  <si>
    <t>59+</t>
  </si>
  <si>
    <t>16.5%</t>
  </si>
  <si>
    <t>13.1%</t>
  </si>
  <si>
    <t>17.0%</t>
  </si>
  <si>
    <t>16.4%</t>
  </si>
  <si>
    <t>34.5%</t>
  </si>
  <si>
    <t>2.5%</t>
  </si>
  <si>
    <t>calc_final_age_years_overall</t>
  </si>
  <si>
    <t>mean</t>
  </si>
  <si>
    <t>median</t>
  </si>
  <si>
    <t>min</t>
  </si>
  <si>
    <t>max</t>
  </si>
  <si>
    <t>cluster_overall</t>
  </si>
  <si>
    <t>Secteur 1</t>
  </si>
  <si>
    <t>Secteur 2</t>
  </si>
  <si>
    <t>Secteur 3</t>
  </si>
  <si>
    <t>Secteur 4</t>
  </si>
  <si>
    <t>Secteur 5</t>
  </si>
  <si>
    <t>24.0%</t>
  </si>
  <si>
    <t>24.8%</t>
  </si>
  <si>
    <t>12.4%</t>
  </si>
  <si>
    <t>23.6%</t>
  </si>
  <si>
    <t>15.2%</t>
  </si>
  <si>
    <t>enumerator_overall</t>
  </si>
  <si>
    <t>Enumérateur 2</t>
  </si>
  <si>
    <t>Enumérateur 3</t>
  </si>
  <si>
    <t>Enumérateur 4</t>
  </si>
  <si>
    <t>Enumérateur 5</t>
  </si>
  <si>
    <t>Enumérateur 6</t>
  </si>
  <si>
    <t>Enumérateur 7</t>
  </si>
  <si>
    <t>Enumérateur 8</t>
  </si>
  <si>
    <t>13.6%</t>
  </si>
  <si>
    <t>11.6%</t>
  </si>
  <si>
    <t>14.0%</t>
  </si>
  <si>
    <t>20.4%</t>
  </si>
  <si>
    <t>12.8%</t>
  </si>
  <si>
    <t>fsl_first_food_sources_overall</t>
  </si>
  <si>
    <t>Achat avec du liquide (argent liquide, pas de coupons)</t>
  </si>
  <si>
    <t>Achats à crédit</t>
  </si>
  <si>
    <t>Aide alimentaire en nature (assistance de l'Etat, ONG, UN)</t>
  </si>
  <si>
    <t>Échange contre du travail ou des articles</t>
  </si>
  <si>
    <t>Empruntés</t>
  </si>
  <si>
    <t>Mendicité</t>
  </si>
  <si>
    <t>Offert par la famille et/ou des amis</t>
  </si>
  <si>
    <t>Production propre</t>
  </si>
  <si>
    <t>70.0%</t>
  </si>
  <si>
    <t>0.8%</t>
  </si>
  <si>
    <t>5.6%</t>
  </si>
  <si>
    <t>1.2%</t>
  </si>
  <si>
    <t>0.4%</t>
  </si>
  <si>
    <t>1.6%</t>
  </si>
  <si>
    <t>19.6%</t>
  </si>
  <si>
    <t>fsl_food_sources_barriers_overall</t>
  </si>
  <si>
    <t>Aucune barrière, accédé à l'accès aux sources de nourriture</t>
  </si>
  <si>
    <t>Vivez trop loin des sources alimentaires / aucun moyen de transport.</t>
  </si>
  <si>
    <t>Transport vers la source de nourriture trop chère.</t>
  </si>
  <si>
    <t>Pas assez de nourriture est disponible</t>
  </si>
  <si>
    <t>Dommages/dégats à la principale source de nourriture</t>
  </si>
  <si>
    <t>Problèmes de sécurité se déplaçant vers et depuis les sources alimentaires.</t>
  </si>
  <si>
    <t>Pas autorisé à accéder aux principales sources alimentaires (Raisons culturelles, sociales, etc.)</t>
  </si>
  <si>
    <t>Autre - précisez</t>
  </si>
  <si>
    <t>Ne sait pas</t>
  </si>
  <si>
    <t>Préfère ne pas répondre</t>
  </si>
  <si>
    <t>41.2%</t>
  </si>
  <si>
    <t>16.8%</t>
  </si>
  <si>
    <t>39.6%</t>
  </si>
  <si>
    <t>23.2%</t>
  </si>
  <si>
    <t>0.0%</t>
  </si>
  <si>
    <t>fsl_hh_clean_water_preparation_overall</t>
  </si>
  <si>
    <t>Eau du robinet à l'intérieur de la maison</t>
  </si>
  <si>
    <t>Eau du robinet dans la concession du voisin</t>
  </si>
  <si>
    <t>Forage avec une PMH (pompe à motricité humaine)</t>
  </si>
  <si>
    <t>Poste d'eau autonome (PEA) ou adduction d'eau potable simplifiée (AEPS)</t>
  </si>
  <si>
    <t>Puits aménagé / protégé</t>
  </si>
  <si>
    <t>Puits traditionnel / non protégé</t>
  </si>
  <si>
    <t>Robinet public ou borne-fontaine</t>
  </si>
  <si>
    <t>38.8%</t>
  </si>
  <si>
    <t>6.4%</t>
  </si>
  <si>
    <t>4.8%</t>
  </si>
  <si>
    <t>48.0%</t>
  </si>
  <si>
    <t>fsl_second_food_sources_overall</t>
  </si>
  <si>
    <t>19.2%</t>
  </si>
  <si>
    <t>17.6%</t>
  </si>
  <si>
    <t>12.0%</t>
  </si>
  <si>
    <t>2.4%</t>
  </si>
  <si>
    <t>4.4%</t>
  </si>
  <si>
    <t>fsl_third_food_sources_overall</t>
  </si>
  <si>
    <t>4.0%</t>
  </si>
  <si>
    <t>14.4%</t>
  </si>
  <si>
    <t>27.2%</t>
  </si>
  <si>
    <t>8.8%</t>
  </si>
  <si>
    <t>2.8%</t>
  </si>
  <si>
    <t>health_healthcare_barriers_overall</t>
  </si>
  <si>
    <t>N'avait pas besoin d'accéder aux services</t>
  </si>
  <si>
    <t>Aucun établissement de santé fonctionnelle à proximité</t>
  </si>
  <si>
    <t>Service spécifique recherché indisponible</t>
  </si>
  <si>
    <t>Je ne pouvais pas se permettre le coût des médicaments (pas l'augmentation des prix)</t>
  </si>
  <si>
    <t>Je ne pouvais pas se permettre le coût des médicaments (le prix augmenté)</t>
  </si>
  <si>
    <t>Non enregistré auprès d'un médecin local</t>
  </si>
  <si>
    <t>Long temps d'attente pour le service</t>
  </si>
  <si>
    <t>Je ne pouvais pas se permettre le coût de la consultation / du service</t>
  </si>
  <si>
    <t>Je ne pouvais pas se permettre le transport vers l'établissement de santé</t>
  </si>
  <si>
    <t>L'établissement de santé est trop éloigné</t>
  </si>
  <si>
    <t>Le handicap empêche l'accès à l'établissement de santé</t>
  </si>
  <si>
    <t>Aucun moyen de transport</t>
  </si>
  <si>
    <t>Pas sûr / insécurité dans l'établissement de santé</t>
  </si>
  <si>
    <t>Pas sûr / insécurité lors de ses déplacements dans l'établissement de santé</t>
  </si>
  <si>
    <t>Pas de personnel formé de manière appropriée dans l'établissement de santé</t>
  </si>
  <si>
    <t>Pas assez de personnel dans l'établissement de santé</t>
  </si>
  <si>
    <t>Peur ou méfiance envers les agents de santé, l'examen ou le traitement</t>
  </si>
  <si>
    <t>Peur de la stigmatisation ou des préjugés</t>
  </si>
  <si>
    <t>Reviendra bientôt chez lui et continuera les soins là-bas</t>
  </si>
  <si>
    <t>Ne vous sentez pas à l'aise pour changer le fournisseur de soins</t>
  </si>
  <si>
    <t>Je ne pouvais pas prendre de congé de travail / de prendre soin des enfants</t>
  </si>
  <si>
    <t>Manque de documents nécessaires</t>
  </si>
  <si>
    <t>Manque d'informations sur la façon d'accéder aux soins</t>
  </si>
  <si>
    <t>Spécifier une autre raison</t>
  </si>
  <si>
    <t>Aucune obstacle expérimenté</t>
  </si>
  <si>
    <t>14.8%</t>
  </si>
  <si>
    <t>43.6%</t>
  </si>
  <si>
    <t>50.4%</t>
  </si>
  <si>
    <t>health_healthcare_barriers_overall_D_by_residency_status</t>
  </si>
  <si>
    <t>residency_status</t>
  </si>
  <si>
    <t>Personne déplacée en interne (PDI)</t>
  </si>
  <si>
    <t>health_healthcare_barriers_overall_D_by_unmet_needs</t>
  </si>
  <si>
    <t>unmet_needs</t>
  </si>
  <si>
    <t>HH with Unmet Needs</t>
  </si>
  <si>
    <t>3.0%</t>
  </si>
  <si>
    <t>75.8%</t>
  </si>
  <si>
    <t>1.5%</t>
  </si>
  <si>
    <t>27.3%</t>
  </si>
  <si>
    <t>10.6%</t>
  </si>
  <si>
    <t>HH without unmet Needs</t>
  </si>
  <si>
    <t>20.1%</t>
  </si>
  <si>
    <t>5.4%</t>
  </si>
  <si>
    <t>32.1%</t>
  </si>
  <si>
    <t>41.3%</t>
  </si>
  <si>
    <t>9.2%</t>
  </si>
  <si>
    <t>3.8%</t>
  </si>
  <si>
    <t>0.5%</t>
  </si>
  <si>
    <t>1.1%</t>
  </si>
  <si>
    <t>health_healthcare_service_one_hour_overall</t>
  </si>
  <si>
    <t>Non</t>
  </si>
  <si>
    <t>Oui</t>
  </si>
  <si>
    <t>26.8%</t>
  </si>
  <si>
    <t>73.2%</t>
  </si>
  <si>
    <t>health_healthcare_service_one_hour_overall_D_by_residency_status</t>
  </si>
  <si>
    <t>health_ind_cholera_vaccination_overall</t>
  </si>
  <si>
    <t>Oui de la carte / enregistrement de la vaccination</t>
  </si>
  <si>
    <t>Oui du rappel maternel</t>
  </si>
  <si>
    <t>3.7%</t>
  </si>
  <si>
    <t>76.9%</t>
  </si>
  <si>
    <t>2.9%</t>
  </si>
  <si>
    <t>health_ind_cholera_vaccination_overall_D_by_age_group</t>
  </si>
  <si>
    <t>age_group</t>
  </si>
  <si>
    <t>14.1%</t>
  </si>
  <si>
    <t>7.1%</t>
  </si>
  <si>
    <t>78.8%</t>
  </si>
  <si>
    <t>5.3%</t>
  </si>
  <si>
    <t>81.9%</t>
  </si>
  <si>
    <t>15.1%</t>
  </si>
  <si>
    <t>5.9%</t>
  </si>
  <si>
    <t>78.9%</t>
  </si>
  <si>
    <t>17.8%</t>
  </si>
  <si>
    <t>4.1%</t>
  </si>
  <si>
    <t>77.7%</t>
  </si>
  <si>
    <t>0.3%</t>
  </si>
  <si>
    <t>75.7%</t>
  </si>
  <si>
    <t>5.2%</t>
  </si>
  <si>
    <t>26.7%</t>
  </si>
  <si>
    <t>44.4%</t>
  </si>
  <si>
    <t>28.9%</t>
  </si>
  <si>
    <t>health_ind_cholera_vaccination_overall_D_by_health_ind_sex</t>
  </si>
  <si>
    <t>health_ind_sex</t>
  </si>
  <si>
    <t>&lt;TOTAL&gt;</t>
  </si>
  <si>
    <t>health_ind_healthcare_provider_overall</t>
  </si>
  <si>
    <t>CHU (Centre hospitalier universitaire)</t>
  </si>
  <si>
    <t>CHR (Centre hospitalier régional)</t>
  </si>
  <si>
    <t>CMA (Centre médical avec antenne chirurgicale)</t>
  </si>
  <si>
    <t>CSPS (Centre de santé et de promotion sociale)</t>
  </si>
  <si>
    <t>Centre médical</t>
  </si>
  <si>
    <t>Dispensaires isolés</t>
  </si>
  <si>
    <t>CREN (Clinique de réhabilitation et éducation nutritionnelle)</t>
  </si>
  <si>
    <t>Clinique mobile</t>
  </si>
  <si>
    <t>PSA (Poste de santé avancé)</t>
  </si>
  <si>
    <t>ASBC (Agent de santé à base communautaire)</t>
  </si>
  <si>
    <t>Accoucheuse villageoise (AV)</t>
  </si>
  <si>
    <t>Clinique privé</t>
  </si>
  <si>
    <t>Médecine traditionnelle</t>
  </si>
  <si>
    <t>0.6%</t>
  </si>
  <si>
    <t>54.5%</t>
  </si>
  <si>
    <t>29.0%</t>
  </si>
  <si>
    <t>2.3%</t>
  </si>
  <si>
    <t>health_ind_illness_overall</t>
  </si>
  <si>
    <t>84.7%</t>
  </si>
  <si>
    <t>15.3%</t>
  </si>
  <si>
    <t>health_ind_illness_overall_D_by_age_group</t>
  </si>
  <si>
    <t>67.1%</t>
  </si>
  <si>
    <t>32.9%</t>
  </si>
  <si>
    <t>81.5%</t>
  </si>
  <si>
    <t>18.5%</t>
  </si>
  <si>
    <t>90.8%</t>
  </si>
  <si>
    <t>91.8%</t>
  </si>
  <si>
    <t>8.2%</t>
  </si>
  <si>
    <t>87.3%</t>
  </si>
  <si>
    <t>12.7%</t>
  </si>
  <si>
    <t>91.1%</t>
  </si>
  <si>
    <t>8.9%</t>
  </si>
  <si>
    <t>health_ind_illness_overall_D_by_health_ind_sex</t>
  </si>
  <si>
    <t>health_ind_illness_overall_D_by_residency_status</t>
  </si>
  <si>
    <t>health_ind_measles_vaccination_overall</t>
  </si>
  <si>
    <t>4.7%</t>
  </si>
  <si>
    <t>77.6%</t>
  </si>
  <si>
    <t>health_ind_measles_vaccination_overall_D_by_age_group</t>
  </si>
  <si>
    <t>17.2%</t>
  </si>
  <si>
    <t>78.3%</t>
  </si>
  <si>
    <t>18.1%</t>
  </si>
  <si>
    <t>5.1%</t>
  </si>
  <si>
    <t>76.8%</t>
  </si>
  <si>
    <t>health_ind_measles_vaccination_overall_D_by_health_ind_sex</t>
  </si>
  <si>
    <t>health_ind_received_healthcare_overall</t>
  </si>
  <si>
    <t>35.1%</t>
  </si>
  <si>
    <t>64.9%</t>
  </si>
  <si>
    <t>health_ind_received_healthcare_overall_D_by_age_group</t>
  </si>
  <si>
    <t>29.3%</t>
  </si>
  <si>
    <t>70.7%</t>
  </si>
  <si>
    <t>33.3%</t>
  </si>
  <si>
    <t>66.7%</t>
  </si>
  <si>
    <t>39.3%</t>
  </si>
  <si>
    <t>60.7%</t>
  </si>
  <si>
    <t>50.0%</t>
  </si>
  <si>
    <t>38.5%</t>
  </si>
  <si>
    <t>61.5%</t>
  </si>
  <si>
    <t>health_ind_received_healthcare_overall_D_by_health_ind_sex</t>
  </si>
  <si>
    <t>health_ind_received_healthcare_overall_D_by_residency_status</t>
  </si>
  <si>
    <t>health_ind_symptom_overall</t>
  </si>
  <si>
    <t>Fièvre</t>
  </si>
  <si>
    <t>Diarrhée</t>
  </si>
  <si>
    <t>Toux</t>
  </si>
  <si>
    <t>Rapide et difficulté à respirer</t>
  </si>
  <si>
    <t>Infection oculaire ou yeux rouges</t>
  </si>
  <si>
    <t>Infection de la peau</t>
  </si>
  <si>
    <t>Infection de l'oreille</t>
  </si>
  <si>
    <t>Éruption cutanée avec des bosses surélevées sur la tête, cou</t>
  </si>
  <si>
    <t>Vomissements</t>
  </si>
  <si>
    <t>Maux de ventre</t>
  </si>
  <si>
    <t>Maux de tête</t>
  </si>
  <si>
    <t>62.4%</t>
  </si>
  <si>
    <t>26.2%</t>
  </si>
  <si>
    <t>16.2%</t>
  </si>
  <si>
    <t>1.8%</t>
  </si>
  <si>
    <t>2.6%</t>
  </si>
  <si>
    <t>0.7%</t>
  </si>
  <si>
    <t>13.3%</t>
  </si>
  <si>
    <t>28.4%</t>
  </si>
  <si>
    <t>health_ind_vitamin_a_vaccination_overall</t>
  </si>
  <si>
    <t>96.6%</t>
  </si>
  <si>
    <t>3.4%</t>
  </si>
  <si>
    <t>health_ind_vitamin_a_vaccination_overall_D_by_age_group</t>
  </si>
  <si>
    <t>96.5%</t>
  </si>
  <si>
    <t>3.5%</t>
  </si>
  <si>
    <t>health_ind_vitamin_a_vaccination_overall_D_by_health_ind_sex</t>
  </si>
  <si>
    <t>ind_relationship_hohh_overall</t>
  </si>
  <si>
    <t>Chef de ménage</t>
  </si>
  <si>
    <t>Conjoint(e) du ou de la chef.fe de ménage</t>
  </si>
  <si>
    <t>Cousin</t>
  </si>
  <si>
    <t>Enfant</t>
  </si>
  <si>
    <t>Famille élargie (oncle/tante/nièce/neveu/cousin, etc)</t>
  </si>
  <si>
    <t>Fière (frère ou sœur)</t>
  </si>
  <si>
    <t>Grand-parent</t>
  </si>
  <si>
    <t>Neveu / Nièce</t>
  </si>
  <si>
    <t>Parent</t>
  </si>
  <si>
    <t>Petit enfant</t>
  </si>
  <si>
    <t>56.7%</t>
  </si>
  <si>
    <t>10.0%</t>
  </si>
  <si>
    <t>0.2%</t>
  </si>
  <si>
    <t>1.9%</t>
  </si>
  <si>
    <t>ind_sex_overall</t>
  </si>
  <si>
    <t>Femme</t>
  </si>
  <si>
    <t>Homme</t>
  </si>
  <si>
    <t>52.6%</t>
  </si>
  <si>
    <t>47.4%</t>
  </si>
  <si>
    <t>num_hh_overall</t>
  </si>
  <si>
    <t>nut_caregiver_present_overall</t>
  </si>
  <si>
    <t>6.1%</t>
  </si>
  <si>
    <t>93.9%</t>
  </si>
  <si>
    <t>nut_child_present_overall</t>
  </si>
  <si>
    <t>11.7%</t>
  </si>
  <si>
    <t>88.3%</t>
  </si>
  <si>
    <t>nut_cmam_enrollment_overall</t>
  </si>
  <si>
    <t>Alimentation supplémentaire (TSFP)</t>
  </si>
  <si>
    <t>Alimentation thérapeutique ambulatoire (OTP)</t>
  </si>
  <si>
    <t>Pas dans aucun programme</t>
  </si>
  <si>
    <t>Soins aux patients hospitalisés (centre de stabilisation)</t>
  </si>
  <si>
    <t>12.9%</t>
  </si>
  <si>
    <t>64.5%</t>
  </si>
  <si>
    <t>9.7%</t>
  </si>
  <si>
    <t>nut_cmam_enrollment_overall_D_by_age_group_nut</t>
  </si>
  <si>
    <t>age_group_nut</t>
  </si>
  <si>
    <t>06-23</t>
  </si>
  <si>
    <t>19.0%</t>
  </si>
  <si>
    <t>14.3%</t>
  </si>
  <si>
    <t>52.4%</t>
  </si>
  <si>
    <t>24-59</t>
  </si>
  <si>
    <t>90.0%</t>
  </si>
  <si>
    <t>nut_cmam_enrollment_overall_D_by_child_sex</t>
  </si>
  <si>
    <t>child_sex</t>
  </si>
  <si>
    <t>nut_complementary_feeding_challenges_overall</t>
  </si>
  <si>
    <t>Aucun défis</t>
  </si>
  <si>
    <t>Manque d'argent / obstacles financiers pour acheter de la nourriture</t>
  </si>
  <si>
    <t>Les prix élevés des aliments / la nourriture coûtent cher</t>
  </si>
  <si>
    <t>Manque d'informations adéquates sur l'alimentation du nourrisson et du jeune enfant</t>
  </si>
  <si>
    <t>L'enfant est malade / faible appétit</t>
  </si>
  <si>
    <t>Mauvaises pratiques hygiéniques / manque d'eau</t>
  </si>
  <si>
    <t>Manque de temps pour préparer les aliments pour les tâches enfants / ménages</t>
  </si>
  <si>
    <t>Manque de temps pour prendre en charge l'enfant</t>
  </si>
  <si>
    <t>Manque d'informations sur l'importance de l'alimentation complémentaire</t>
  </si>
  <si>
    <t>20.0%</t>
  </si>
  <si>
    <t>67.7%</t>
  </si>
  <si>
    <t>63.6%</t>
  </si>
  <si>
    <t>8.1%</t>
  </si>
  <si>
    <t>3.9%</t>
  </si>
  <si>
    <t>1.0%</t>
  </si>
  <si>
    <t>nut_complementary_feeding_challenges_overall_D_by_child_sex</t>
  </si>
  <si>
    <t>nut_edema_confirm_overall</t>
  </si>
  <si>
    <t>nut_edema_overall</t>
  </si>
  <si>
    <t>98.9%</t>
  </si>
  <si>
    <t>nut_food_child_consumptions_overall</t>
  </si>
  <si>
    <t>Lait maternel</t>
  </si>
  <si>
    <t>Céréales, racines, tubercules et plantains</t>
  </si>
  <si>
    <t>Légumes secs (haricots, pois, lentilles), noix et graines</t>
  </si>
  <si>
    <t>Produits laitiers (lait, lait maternisé, yaourt, fromage)</t>
  </si>
  <si>
    <t>Aliments à base de chair (viande, poisson, volaille, abats)</t>
  </si>
  <si>
    <t>Œufs</t>
  </si>
  <si>
    <t>Fruits et légumes riches en vitamine A</t>
  </si>
  <si>
    <t>Autres fruits et légumes (sans vitamine A)</t>
  </si>
  <si>
    <t>44.5%</t>
  </si>
  <si>
    <t>4.2%</t>
  </si>
  <si>
    <t>9.3%</t>
  </si>
  <si>
    <t>nut_food_child_consumptions_overall_D_by_child_sex</t>
  </si>
  <si>
    <t>nut_muac_cm_overall</t>
  </si>
  <si>
    <t>nut_muac_cm_overall_D_by_age_group_nut</t>
  </si>
  <si>
    <t>nut_muac_cm_overall_D_by_child_sex</t>
  </si>
  <si>
    <t>residency_status_overall</t>
  </si>
  <si>
    <t>respondent_consent_overall</t>
  </si>
  <si>
    <t>shelter_type_overall</t>
  </si>
  <si>
    <t>Appartement solide / fini</t>
  </si>
  <si>
    <t>Aucun (dormant en ouvert)</t>
  </si>
  <si>
    <t>Bâtiment inachevé / non fermé</t>
  </si>
  <si>
    <t>Maison solide / finie</t>
  </si>
  <si>
    <t>Refuge de fortune</t>
  </si>
  <si>
    <t>Tente</t>
  </si>
  <si>
    <t>6.0%</t>
  </si>
  <si>
    <t>wash_containers_overall</t>
  </si>
  <si>
    <t>3.6%</t>
  </si>
  <si>
    <t>96.4%</t>
  </si>
  <si>
    <t>wash_different_water_sources_overall</t>
  </si>
  <si>
    <t>Eau du robinet dans la concession</t>
  </si>
  <si>
    <t>Source protégée</t>
  </si>
  <si>
    <t>Source non protégée</t>
  </si>
  <si>
    <t>Eau amenée par camion</t>
  </si>
  <si>
    <t>Eau amenée par tricycle</t>
  </si>
  <si>
    <t>Chariot avec petit réservoir / baril</t>
  </si>
  <si>
    <t>Kiosque à eau</t>
  </si>
  <si>
    <t>Eau en bouteille</t>
  </si>
  <si>
    <t>Sachet d'eau / eau en sachet</t>
  </si>
  <si>
    <t>Eau de pluie</t>
  </si>
  <si>
    <t>Cours d'eau (fleuve, rivière, ruisseau, eau de surface, etc)</t>
  </si>
  <si>
    <t>53.6%</t>
  </si>
  <si>
    <t>25.0%</t>
  </si>
  <si>
    <t>16.1%</t>
  </si>
  <si>
    <t>wash_num_containers_overall</t>
  </si>
  <si>
    <t>wash_num_share_toilet_overall</t>
  </si>
  <si>
    <t>wash_other_water_sources_overall</t>
  </si>
  <si>
    <t>22.4%</t>
  </si>
  <si>
    <t>wash_share_toilet_facility_overall</t>
  </si>
  <si>
    <t>42.9%</t>
  </si>
  <si>
    <t>57.1%</t>
  </si>
  <si>
    <t>wash_soap_access_overall</t>
  </si>
  <si>
    <t>Oui, et ils ont apporté le savon en 1 minute</t>
  </si>
  <si>
    <t>Oui, mais ne voyez pas de savon en 1 minute</t>
  </si>
  <si>
    <t>Pas de savon dans la maison</t>
  </si>
  <si>
    <t>2.0%</t>
  </si>
  <si>
    <t>81.2%</t>
  </si>
  <si>
    <t>wash_toilet_facility_overall</t>
  </si>
  <si>
    <t>Défécation à l'air libre</t>
  </si>
  <si>
    <t>Latrines SanPlat améliorées (dalle en béton et fosse maçonnée)</t>
  </si>
  <si>
    <t>Latrines traditionnelles avec dalle en béton/latrine SanPlat</t>
  </si>
  <si>
    <t>Latrines traditionnelles sans dalle en béton</t>
  </si>
  <si>
    <t>Latrines VIP une fosse avec dalle</t>
  </si>
  <si>
    <t>72.0%</t>
  </si>
  <si>
    <t>8.4%</t>
  </si>
  <si>
    <t>7.6%</t>
  </si>
  <si>
    <t>wash_water_collect_time_overall</t>
  </si>
  <si>
    <t>Les membres ne collectent pas d'eau car l'eau est présente sur place</t>
  </si>
  <si>
    <t>Nombre de minutes (nombre entier)</t>
  </si>
  <si>
    <t>99.2%</t>
  </si>
  <si>
    <t>wash_water_interuption_num_days_overall</t>
  </si>
  <si>
    <t>wash_water_interuption_overall</t>
  </si>
  <si>
    <t>wash_water_source_overall</t>
  </si>
  <si>
    <t>46.0%</t>
  </si>
  <si>
    <t>40.0%</t>
  </si>
  <si>
    <t>wash_water_treatment_overall</t>
  </si>
  <si>
    <t>Aucun traitement</t>
  </si>
  <si>
    <t>Comprimé de chlore / aquatab</t>
  </si>
  <si>
    <t>Faire bouillir l'eau</t>
  </si>
  <si>
    <t>Tissu filtrant</t>
  </si>
  <si>
    <t>98.8%</t>
  </si>
  <si>
    <t>wash_wise_drink_overall</t>
  </si>
  <si>
    <t>Jamais (0 fois)</t>
  </si>
  <si>
    <t>Parfois (3-10 fois)</t>
  </si>
  <si>
    <t>Rarement (1-2 fois)</t>
  </si>
  <si>
    <t>52.0%</t>
  </si>
  <si>
    <t>wash_wise_hands_overall</t>
  </si>
  <si>
    <t>33.2%</t>
  </si>
  <si>
    <t>58.4%</t>
  </si>
  <si>
    <t>wash_wise_plans_overall</t>
  </si>
  <si>
    <t>Toujours (plus de 20 fois)</t>
  </si>
  <si>
    <t>10.4%</t>
  </si>
  <si>
    <t>65.2%</t>
  </si>
  <si>
    <t>wash_wise_worry_overall</t>
  </si>
  <si>
    <t>22.8%</t>
  </si>
  <si>
    <t>65.6%</t>
  </si>
  <si>
    <t>Prevalence of acute malnutrition based on MUAC cut off's (and/or oedema) and by sex</t>
  </si>
  <si>
    <t>AMN_MUAC_Indicator</t>
  </si>
  <si>
    <t>All</t>
  </si>
  <si>
    <t>Female</t>
  </si>
  <si>
    <t>Male</t>
  </si>
  <si>
    <t>Prevalence of global malnutrition
(&lt; 125 mm and/or oedema)</t>
  </si>
  <si>
    <t>(31) 8.59 / [5.69 - 11.48] (95% C.I.)</t>
  </si>
  <si>
    <t>(20) 11.49 / [6.75 - 16.24] (95% C.I.)</t>
  </si>
  <si>
    <t>(11) 5.88 / [2.51 - 9.26] (95% C.I.)</t>
  </si>
  <si>
    <t>Prevalence of moderate malnutrition
(&lt; 125 mm and &gt;115 mm, no oedema)</t>
  </si>
  <si>
    <t>(19) 5.26 / [2.96 - 7.57] (95% C.I.)</t>
  </si>
  <si>
    <t>(12) 6.9 / [3.13 - 10.67] (95% C.I.)</t>
  </si>
  <si>
    <t>(7) 3.74 / [1.02 - 6.47] (95% C.I.)</t>
  </si>
  <si>
    <t>Prevalence of severe malnutrition
(&lt; 115 mm and/or oedema)</t>
  </si>
  <si>
    <t>(12) 3.32 / [1.47 - 5.18] (95% C.I.)</t>
  </si>
  <si>
    <t>(8) 4.6 / [1.48 - 7.71] (95% C.I.)</t>
  </si>
  <si>
    <t>(4) 2.14 / [0.06 - 4.21] (95% C.I.)</t>
  </si>
  <si>
    <t>Prevalence of acute malnutrition based on MUAC cut off's (and/or oedema) and by Age Group</t>
  </si>
  <si>
    <t>Total</t>
  </si>
  <si>
    <t>gam_muac_noflag</t>
  </si>
  <si>
    <t>mam_muac_noflag</t>
  </si>
  <si>
    <t>sam_muac_noflag</t>
  </si>
  <si>
    <t>Normal</t>
  </si>
  <si>
    <t>Oedema</t>
  </si>
  <si>
    <t>06-17</t>
  </si>
  <si>
    <t>(16) 14.68 / [8.03 - 21.33] (95% C.I.)</t>
  </si>
  <si>
    <t>(9) 8.26 / [3.08 - 13.43] (95% C.I.)</t>
  </si>
  <si>
    <t>(7) 6.42 / [1.82 - 11.03] (95% C.I.)</t>
  </si>
  <si>
    <t>86 / 72.88%</t>
  </si>
  <si>
    <t>0 / 0%</t>
  </si>
  <si>
    <t>18-29</t>
  </si>
  <si>
    <t>(8) 10.26 / [3.52 - 17] (95% C.I.)</t>
  </si>
  <si>
    <t>(6) 7.69 / [1.77 - 13.61] (95% C.I.)</t>
  </si>
  <si>
    <t>(2) 2.56 / [0 - 6.08] (95% C.I.)</t>
  </si>
  <si>
    <t>68 / 80.95%</t>
  </si>
  <si>
    <t>30-41</t>
  </si>
  <si>
    <t>(4) 5.06 / [0.22 - 9.9] (95% C.I.)</t>
  </si>
  <si>
    <t>(2) 2.53 / [0 - 6] (95% C.I.)</t>
  </si>
  <si>
    <t>84 / 91.3%</t>
  </si>
  <si>
    <t>42-53</t>
  </si>
  <si>
    <t>(1) 1.45 / [0 - 4.27] (95% C.I.)</t>
  </si>
  <si>
    <t>(0) 0 / [0 - 0] (95% C.I.)</t>
  </si>
  <si>
    <t>80 / 97.56%</t>
  </si>
  <si>
    <t>54-59</t>
  </si>
  <si>
    <t>(2) 7.69 / [0 - 17.95] (95% C.I.)</t>
  </si>
  <si>
    <t>(1) 3.85 / [0 - 11.25] (95% C.I.)</t>
  </si>
  <si>
    <t>29 / 87.88%</t>
  </si>
  <si>
    <t>Prevalence of acute malnutrition based on MUAC-for-age z-score cut off's (and/or oedema) and by sex</t>
  </si>
  <si>
    <t>Prevalence of global malnutrition
(&lt; -2 MUAC-for-age z-score and/or oedema)</t>
  </si>
  <si>
    <t>Prevalence of moderate malnutrition
(&gt;= -3 and &lt; -2 MUAC-for-age z-score, no oedema)</t>
  </si>
  <si>
    <t>Prevalence of severe malnutrition
(&lt; -3 MUAC-for-age z-score and/or oedema)</t>
  </si>
  <si>
    <t>Mean (MFAZ and MUAC)</t>
  </si>
  <si>
    <t>Name</t>
  </si>
  <si>
    <t>Mean</t>
  </si>
  <si>
    <t>Mean_low</t>
  </si>
  <si>
    <t>Mean_upp</t>
  </si>
  <si>
    <t>muac_noflag</t>
  </si>
  <si>
    <t>mfaz_noflag</t>
  </si>
  <si>
    <t>Nutrition Assessment Results</t>
  </si>
  <si>
    <t>Males</t>
  </si>
  <si>
    <t>Females</t>
  </si>
  <si>
    <t>Weighted Total**</t>
  </si>
  <si>
    <t>Percent of children over 2 years of age in the sample</t>
  </si>
  <si>
    <t>N</t>
  </si>
  <si>
    <t>%</t>
  </si>
  <si>
    <t>&lt; 2 Years Old</t>
  </si>
  <si>
    <t>&lt;115 mm</t>
  </si>
  <si>
    <t>115-124 mm</t>
  </si>
  <si>
    <t>≥125 mm</t>
  </si>
  <si>
    <t>≥ 2 Years Old</t>
  </si>
  <si>
    <t xml:space="preserve">Instructions: Fill in the cells that have a white background (C5-C8, C10-13, E5-8, E10-13). The rest of the cells will be filled in automatically. </t>
  </si>
  <si>
    <t>** MUAC shows a known bias towards younger children. In a balanced sample we expect approximately two thirds (~66%) of the sample to be over 2 years old. If too few older children are included in the sample use the weighted total. Percentage of children over 2 is shown in the last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</si>
</sst>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</font>
    <font>
      <b/>
      <sz val="11"/>
      <color theme="1"/>
      <name val="Arial"/>
      <family val="2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0" borderId="7" xfId="0" applyFont="1" applyBorder="1" applyAlignment="1">
      <alignment horizontal="righ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2" borderId="10" xfId="0" applyFont="1" applyFill="1" applyBorder="1"/>
    <xf numFmtId="0" fontId="2" fillId="0" borderId="10" xfId="0" applyFont="1" applyBorder="1"/>
    <xf numFmtId="0" fontId="2" fillId="0" borderId="11" xfId="0" applyFont="1" applyBorder="1"/>
    <xf numFmtId="164" fontId="2" fillId="2" borderId="12" xfId="0" applyNumberFormat="1" applyFont="1" applyFill="1" applyBorder="1"/>
    <xf numFmtId="0" fontId="2" fillId="0" borderId="13" xfId="0" applyFont="1" applyBorder="1"/>
    <xf numFmtId="0" fontId="2" fillId="3" borderId="12" xfId="0" applyFont="1" applyFill="1" applyBorder="1"/>
    <xf numFmtId="0" fontId="2" fillId="0" borderId="14" xfId="0" applyFont="1" applyBorder="1"/>
    <xf numFmtId="164" fontId="2" fillId="3" borderId="8" xfId="0" applyNumberFormat="1" applyFont="1" applyFill="1" applyBorder="1"/>
    <xf numFmtId="0" fontId="2" fillId="0" borderId="15" xfId="0" applyFont="1" applyBorder="1"/>
    <xf numFmtId="0" fontId="2" fillId="3" borderId="14" xfId="0" applyFont="1" applyFill="1" applyBorder="1"/>
    <xf numFmtId="0" fontId="2" fillId="0" borderId="0" xfId="0" applyFont="1"/>
    <xf numFmtId="164" fontId="2" fillId="3" borderId="12" xfId="0" applyNumberFormat="1" applyFont="1" applyFill="1" applyBorder="1"/>
    <xf numFmtId="0" fontId="2" fillId="4" borderId="12" xfId="0" applyFont="1" applyFill="1" applyBorder="1"/>
    <xf numFmtId="164" fontId="2" fillId="4" borderId="8" xfId="0" applyNumberFormat="1" applyFont="1" applyFill="1" applyBorder="1"/>
    <xf numFmtId="0" fontId="2" fillId="4" borderId="14" xfId="0" applyFont="1" applyFill="1" applyBorder="1"/>
    <xf numFmtId="164" fontId="2" fillId="4" borderId="12" xfId="0" applyNumberFormat="1" applyFont="1" applyFill="1" applyBorder="1"/>
    <xf numFmtId="0" fontId="2" fillId="5" borderId="12" xfId="0" applyFont="1" applyFill="1" applyBorder="1"/>
    <xf numFmtId="0" fontId="2" fillId="5" borderId="14" xfId="0" applyFont="1" applyFill="1" applyBorder="1"/>
    <xf numFmtId="164" fontId="2" fillId="5" borderId="8" xfId="0" applyNumberFormat="1" applyFont="1" applyFill="1" applyBorder="1"/>
    <xf numFmtId="0" fontId="2" fillId="5" borderId="15" xfId="0" applyFont="1" applyFill="1" applyBorder="1"/>
    <xf numFmtId="164" fontId="2" fillId="5" borderId="12" xfId="0" applyNumberFormat="1" applyFont="1" applyFill="1" applyBorder="1"/>
    <xf numFmtId="0" fontId="4" fillId="0" borderId="0" xfId="0" applyFont="1"/>
    <xf numFmtId="0" fontId="2" fillId="2" borderId="12" xfId="0" applyFont="1" applyFill="1" applyBorder="1"/>
    <xf numFmtId="0" fontId="2" fillId="2" borderId="14" xfId="0" applyFont="1" applyFill="1" applyBorder="1"/>
    <xf numFmtId="164" fontId="2" fillId="0" borderId="0" xfId="0" applyNumberFormat="1" applyFont="1"/>
    <xf numFmtId="164" fontId="2" fillId="2" borderId="13" xfId="0" applyNumberFormat="1" applyFont="1" applyFill="1" applyBorder="1"/>
    <xf numFmtId="164" fontId="2" fillId="3" borderId="13" xfId="0" applyNumberFormat="1" applyFont="1" applyFill="1" applyBorder="1"/>
    <xf numFmtId="164" fontId="2" fillId="4" borderId="13" xfId="0" applyNumberFormat="1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164" fontId="2" fillId="5" borderId="18" xfId="0" applyNumberFormat="1" applyFont="1" applyFill="1" applyBorder="1"/>
    <xf numFmtId="164" fontId="2" fillId="5" borderId="16" xfId="0" applyNumberFormat="1" applyFont="1" applyFill="1" applyBorder="1"/>
    <xf numFmtId="0" fontId="2" fillId="0" borderId="19" xfId="0" applyFont="1" applyBorder="1"/>
    <xf numFmtId="164" fontId="2" fillId="5" borderId="20" xfId="0" applyNumberFormat="1" applyFont="1" applyFill="1" applyBorder="1"/>
    <xf numFmtId="0" fontId="2" fillId="0" borderId="2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6" xfId="0" applyFont="1" applyBorder="1"/>
    <xf numFmtId="0" fontId="2" fillId="0" borderId="31" xfId="0" applyFont="1" applyBorder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0" borderId="2" xfId="0" applyFont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77932</xdr:colOff>
      <xdr:row>0</xdr:row>
      <xdr:rowOff>51281</xdr:rowOff>
    </xdr:from>
    <xdr:to>
      <xdr:col>5</xdr:col>
      <xdr:colOff>432718</xdr:colOff>
      <xdr:row>0</xdr:row>
      <xdr:rowOff>572321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E20A8-BCE8-40D7-A56E-194904BCE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6288" y="51281"/>
          <a:ext cx="1933588" cy="52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"/>
  <sheetViews>
    <sheetView workbookViewId="0"/>
  </sheetViews>
  <sheetFormatPr defaultColWidth="11.42578125" defaultRowHeight="15"/>
  <sheetData>
    <row r="1" spans="1:1">
      <c r="A1" t="s">
        <v>0</v>
      </c>
    </row>
    <row r="2" spans="1:1">
      <c r="A2" s="53" t="str">
        <f>HYPERLINK("#'Data'!A1", "admin1_overall")</f>
        <v>admin1_overall</v>
      </c>
    </row>
    <row r="3" spans="1:1">
      <c r="A3" s="53" t="str">
        <f>HYPERLINK("#'Data'!A5", "admin2_overall")</f>
        <v>admin2_overall</v>
      </c>
    </row>
    <row r="4" spans="1:1">
      <c r="A4" s="53" t="str">
        <f>HYPERLINK("#'Data'!A9", "admin3_overall")</f>
        <v>admin3_overall</v>
      </c>
    </row>
    <row r="5" spans="1:1">
      <c r="A5" s="53" t="str">
        <f>HYPERLINK("#'Data'!A13", "admin4_overall")</f>
        <v>admin4_overall</v>
      </c>
    </row>
    <row r="6" spans="1:1">
      <c r="A6" s="53" t="str">
        <f>HYPERLINK("#'Data'!A17", "age_group_overall")</f>
        <v>age_group_overall</v>
      </c>
    </row>
    <row r="7" spans="1:1">
      <c r="A7" s="53" t="str">
        <f>HYPERLINK("#'Data'!A21", "calc_final_age_years_overall")</f>
        <v>calc_final_age_years_overall</v>
      </c>
    </row>
    <row r="8" spans="1:1">
      <c r="A8" s="53" t="str">
        <f>HYPERLINK("#'Data'!A25", "cluster_overall")</f>
        <v>cluster_overall</v>
      </c>
    </row>
    <row r="9" spans="1:1">
      <c r="A9" s="53" t="str">
        <f>HYPERLINK("#'Data'!A29", "enumerator_overall")</f>
        <v>enumerator_overall</v>
      </c>
    </row>
    <row r="10" spans="1:1">
      <c r="A10" s="53" t="str">
        <f>HYPERLINK("#'Data'!A33", "fsl_first_food_sources_overall")</f>
        <v>fsl_first_food_sources_overall</v>
      </c>
    </row>
    <row r="11" spans="1:1">
      <c r="A11" s="53" t="str">
        <f>HYPERLINK("#'Data'!A37", "fsl_food_sources_barriers_overall")</f>
        <v>fsl_food_sources_barriers_overall</v>
      </c>
    </row>
    <row r="12" spans="1:1">
      <c r="A12" s="53" t="str">
        <f>HYPERLINK("#'Data'!A41", "fsl_hh_clean_water_preparation_overall")</f>
        <v>fsl_hh_clean_water_preparation_overall</v>
      </c>
    </row>
    <row r="13" spans="1:1">
      <c r="A13" s="53" t="str">
        <f>HYPERLINK("#'Data'!A45", "fsl_second_food_sources_overall")</f>
        <v>fsl_second_food_sources_overall</v>
      </c>
    </row>
    <row r="14" spans="1:1">
      <c r="A14" s="53" t="str">
        <f>HYPERLINK("#'Data'!A49", "fsl_third_food_sources_overall")</f>
        <v>fsl_third_food_sources_overall</v>
      </c>
    </row>
    <row r="15" spans="1:1">
      <c r="A15" s="53" t="str">
        <f>HYPERLINK("#'Data'!A53", "health_healthcare_barriers_overall")</f>
        <v>health_healthcare_barriers_overall</v>
      </c>
    </row>
    <row r="16" spans="1:1">
      <c r="A16" s="53" t="str">
        <f>HYPERLINK("#'Data'!A57", "health_healthcare_barriers_overall_D_by_residency_status")</f>
        <v>health_healthcare_barriers_overall_D_by_residency_status</v>
      </c>
    </row>
    <row r="17" spans="1:1">
      <c r="A17" s="53" t="str">
        <f>HYPERLINK("#'Data'!A61", "health_healthcare_barriers_overall_D_by_unmet_needs")</f>
        <v>health_healthcare_barriers_overall_D_by_unmet_needs</v>
      </c>
    </row>
    <row r="18" spans="1:1">
      <c r="A18" s="53" t="str">
        <f>HYPERLINK("#'Data'!A66", "health_healthcare_service_one_hour_overall")</f>
        <v>health_healthcare_service_one_hour_overall</v>
      </c>
    </row>
    <row r="19" spans="1:1">
      <c r="A19" s="53" t="str">
        <f>HYPERLINK("#'Data'!A70", "health_healthcare_service_one_hour_overall_D_by_residency_status")</f>
        <v>health_healthcare_service_one_hour_overall_D_by_residency_status</v>
      </c>
    </row>
    <row r="20" spans="1:1">
      <c r="A20" s="53" t="str">
        <f>HYPERLINK("#'Data'!A74", "health_ind_cholera_vaccination_overall")</f>
        <v>health_ind_cholera_vaccination_overall</v>
      </c>
    </row>
    <row r="21" spans="1:1">
      <c r="A21" s="53" t="str">
        <f>HYPERLINK("#'Data'!A78", "health_ind_cholera_vaccination_overall_D_by_age_group")</f>
        <v>health_ind_cholera_vaccination_overall_D_by_age_group</v>
      </c>
    </row>
    <row r="22" spans="1:1">
      <c r="A22" s="53" t="str">
        <f>HYPERLINK("#'Data'!A87", "health_ind_cholera_vaccination_overall_D_by_health_ind_sex")</f>
        <v>health_ind_cholera_vaccination_overall_D_by_health_ind_sex</v>
      </c>
    </row>
    <row r="23" spans="1:1">
      <c r="A23" s="53" t="str">
        <f>HYPERLINK("#'Data'!A91", "health_ind_healthcare_provider_overall")</f>
        <v>health_ind_healthcare_provider_overall</v>
      </c>
    </row>
    <row r="24" spans="1:1">
      <c r="A24" s="53" t="str">
        <f>HYPERLINK("#'Data'!A95", "health_ind_illness_overall")</f>
        <v>health_ind_illness_overall</v>
      </c>
    </row>
    <row r="25" spans="1:1">
      <c r="A25" s="53" t="str">
        <f>HYPERLINK("#'Data'!A99", "health_ind_illness_overall_D_by_age_group")</f>
        <v>health_ind_illness_overall_D_by_age_group</v>
      </c>
    </row>
    <row r="26" spans="1:1">
      <c r="A26" s="53" t="str">
        <f>HYPERLINK("#'Data'!A108", "health_ind_illness_overall_D_by_health_ind_sex")</f>
        <v>health_ind_illness_overall_D_by_health_ind_sex</v>
      </c>
    </row>
    <row r="27" spans="1:1">
      <c r="A27" s="53" t="str">
        <f>HYPERLINK("#'Data'!A112", "health_ind_illness_overall_D_by_residency_status")</f>
        <v>health_ind_illness_overall_D_by_residency_status</v>
      </c>
    </row>
    <row r="28" spans="1:1">
      <c r="A28" s="53" t="str">
        <f>HYPERLINK("#'Data'!A116", "health_ind_measles_vaccination_overall")</f>
        <v>health_ind_measles_vaccination_overall</v>
      </c>
    </row>
    <row r="29" spans="1:1">
      <c r="A29" s="53" t="str">
        <f>HYPERLINK("#'Data'!A120", "health_ind_measles_vaccination_overall_D_by_age_group")</f>
        <v>health_ind_measles_vaccination_overall_D_by_age_group</v>
      </c>
    </row>
    <row r="30" spans="1:1">
      <c r="A30" s="53" t="str">
        <f>HYPERLINK("#'Data'!A125", "health_ind_measles_vaccination_overall_D_by_health_ind_sex")</f>
        <v>health_ind_measles_vaccination_overall_D_by_health_ind_sex</v>
      </c>
    </row>
    <row r="31" spans="1:1">
      <c r="A31" s="53" t="str">
        <f>HYPERLINK("#'Data'!A129", "health_ind_received_healthcare_overall")</f>
        <v>health_ind_received_healthcare_overall</v>
      </c>
    </row>
    <row r="32" spans="1:1">
      <c r="A32" s="53" t="str">
        <f>HYPERLINK("#'Data'!A133", "health_ind_received_healthcare_overall_D_by_age_group")</f>
        <v>health_ind_received_healthcare_overall_D_by_age_group</v>
      </c>
    </row>
    <row r="33" spans="1:1">
      <c r="A33" s="53" t="str">
        <f>HYPERLINK("#'Data'!A142", "health_ind_received_healthcare_overall_D_by_health_ind_sex")</f>
        <v>health_ind_received_healthcare_overall_D_by_health_ind_sex</v>
      </c>
    </row>
    <row r="34" spans="1:1">
      <c r="A34" s="53" t="str">
        <f>HYPERLINK("#'Data'!A146", "health_ind_received_healthcare_overall_D_by_residency_status")</f>
        <v>health_ind_received_healthcare_overall_D_by_residency_status</v>
      </c>
    </row>
    <row r="35" spans="1:1">
      <c r="A35" s="53" t="str">
        <f>HYPERLINK("#'Data'!A150", "health_ind_symptom_overall")</f>
        <v>health_ind_symptom_overall</v>
      </c>
    </row>
    <row r="36" spans="1:1">
      <c r="A36" s="53" t="str">
        <f>HYPERLINK("#'Data'!A154", "health_ind_vitamin_a_vaccination_overall")</f>
        <v>health_ind_vitamin_a_vaccination_overall</v>
      </c>
    </row>
    <row r="37" spans="1:1">
      <c r="A37" s="53" t="str">
        <f>HYPERLINK("#'Data'!A158", "health_ind_vitamin_a_vaccination_overall_D_by_age_group")</f>
        <v>health_ind_vitamin_a_vaccination_overall_D_by_age_group</v>
      </c>
    </row>
    <row r="38" spans="1:1">
      <c r="A38" s="53" t="str">
        <f>HYPERLINK("#'Data'!A164", "health_ind_vitamin_a_vaccination_overall_D_by_health_ind_sex")</f>
        <v>health_ind_vitamin_a_vaccination_overall_D_by_health_ind_sex</v>
      </c>
    </row>
    <row r="39" spans="1:1">
      <c r="A39" s="53" t="str">
        <f>HYPERLINK("#'Data'!A168", "ind_relationship_hohh_overall")</f>
        <v>ind_relationship_hohh_overall</v>
      </c>
    </row>
    <row r="40" spans="1:1">
      <c r="A40" s="53" t="str">
        <f>HYPERLINK("#'Data'!A172", "ind_sex_overall")</f>
        <v>ind_sex_overall</v>
      </c>
    </row>
    <row r="41" spans="1:1">
      <c r="A41" s="53" t="str">
        <f>HYPERLINK("#'Data'!A176", "num_hh_overall")</f>
        <v>num_hh_overall</v>
      </c>
    </row>
    <row r="42" spans="1:1">
      <c r="A42" s="53" t="str">
        <f>HYPERLINK("#'Data'!A180", "nut_caregiver_present_overall")</f>
        <v>nut_caregiver_present_overall</v>
      </c>
    </row>
    <row r="43" spans="1:1">
      <c r="A43" s="53" t="str">
        <f>HYPERLINK("#'Data'!A184", "nut_child_present_overall")</f>
        <v>nut_child_present_overall</v>
      </c>
    </row>
    <row r="44" spans="1:1">
      <c r="A44" s="53" t="str">
        <f>HYPERLINK("#'Data'!A188", "nut_cmam_enrollment_overall")</f>
        <v>nut_cmam_enrollment_overall</v>
      </c>
    </row>
    <row r="45" spans="1:1">
      <c r="A45" s="53" t="str">
        <f>HYPERLINK("#'Data'!A192", "nut_cmam_enrollment_overall_D_by_age_group_nut")</f>
        <v>nut_cmam_enrollment_overall_D_by_age_group_nut</v>
      </c>
    </row>
    <row r="46" spans="1:1">
      <c r="A46" s="53" t="str">
        <f>HYPERLINK("#'Data'!A197", "nut_cmam_enrollment_overall_D_by_child_sex")</f>
        <v>nut_cmam_enrollment_overall_D_by_child_sex</v>
      </c>
    </row>
    <row r="47" spans="1:1">
      <c r="A47" s="53" t="str">
        <f>HYPERLINK("#'Data'!A201", "nut_complementary_feeding_challenges_overall")</f>
        <v>nut_complementary_feeding_challenges_overall</v>
      </c>
    </row>
    <row r="48" spans="1:1">
      <c r="A48" s="53" t="str">
        <f>HYPERLINK("#'Data'!A205", "nut_complementary_feeding_challenges_overall_D_by_child_sex")</f>
        <v>nut_complementary_feeding_challenges_overall_D_by_child_sex</v>
      </c>
    </row>
    <row r="49" spans="1:1">
      <c r="A49" s="53" t="str">
        <f>HYPERLINK("#'Data'!A209", "nut_edema_confirm_overall")</f>
        <v>nut_edema_confirm_overall</v>
      </c>
    </row>
    <row r="50" spans="1:1">
      <c r="A50" s="53" t="str">
        <f>HYPERLINK("#'Data'!A213", "nut_edema_overall")</f>
        <v>nut_edema_overall</v>
      </c>
    </row>
    <row r="51" spans="1:1">
      <c r="A51" s="53" t="str">
        <f>HYPERLINK("#'Data'!A217", "nut_food_child_consumptions_overall")</f>
        <v>nut_food_child_consumptions_overall</v>
      </c>
    </row>
    <row r="52" spans="1:1">
      <c r="A52" s="53" t="str">
        <f>HYPERLINK("#'Data'!A221", "nut_food_child_consumptions_overall_D_by_child_sex")</f>
        <v>nut_food_child_consumptions_overall_D_by_child_sex</v>
      </c>
    </row>
    <row r="53" spans="1:1">
      <c r="A53" s="53" t="str">
        <f>HYPERLINK("#'Data'!A225", "nut_muac_cm_overall")</f>
        <v>nut_muac_cm_overall</v>
      </c>
    </row>
    <row r="54" spans="1:1">
      <c r="A54" s="53" t="str">
        <f>HYPERLINK("#'Data'!A229", "nut_muac_cm_overall_D_by_age_group_nut")</f>
        <v>nut_muac_cm_overall_D_by_age_group_nut</v>
      </c>
    </row>
    <row r="55" spans="1:1">
      <c r="A55" s="53" t="str">
        <f>HYPERLINK("#'Data'!A234", "nut_muac_cm_overall_D_by_child_sex")</f>
        <v>nut_muac_cm_overall_D_by_child_sex</v>
      </c>
    </row>
    <row r="56" spans="1:1">
      <c r="A56" s="53" t="str">
        <f>HYPERLINK("#'Data'!A238", "residency_status_overall")</f>
        <v>residency_status_overall</v>
      </c>
    </row>
    <row r="57" spans="1:1">
      <c r="A57" s="53" t="str">
        <f>HYPERLINK("#'Data'!A242", "respondent_consent_overall")</f>
        <v>respondent_consent_overall</v>
      </c>
    </row>
    <row r="58" spans="1:1">
      <c r="A58" s="53" t="str">
        <f>HYPERLINK("#'Data'!A246", "shelter_type_overall")</f>
        <v>shelter_type_overall</v>
      </c>
    </row>
    <row r="59" spans="1:1">
      <c r="A59" s="53" t="str">
        <f>HYPERLINK("#'Data'!A250", "wash_containers_overall")</f>
        <v>wash_containers_overall</v>
      </c>
    </row>
    <row r="60" spans="1:1">
      <c r="A60" s="53" t="str">
        <f>HYPERLINK("#'Data'!A254", "wash_different_water_sources_overall")</f>
        <v>wash_different_water_sources_overall</v>
      </c>
    </row>
    <row r="61" spans="1:1">
      <c r="A61" s="53" t="str">
        <f>HYPERLINK("#'Data'!A258", "wash_num_containers_overall")</f>
        <v>wash_num_containers_overall</v>
      </c>
    </row>
    <row r="62" spans="1:1">
      <c r="A62" s="53" t="str">
        <f>HYPERLINK("#'Data'!A262", "wash_num_share_toilet_overall")</f>
        <v>wash_num_share_toilet_overall</v>
      </c>
    </row>
    <row r="63" spans="1:1">
      <c r="A63" s="53" t="str">
        <f>HYPERLINK("#'Data'!A266", "wash_other_water_sources_overall")</f>
        <v>wash_other_water_sources_overall</v>
      </c>
    </row>
    <row r="64" spans="1:1">
      <c r="A64" s="53" t="str">
        <f>HYPERLINK("#'Data'!A270", "wash_share_toilet_facility_overall")</f>
        <v>wash_share_toilet_facility_overall</v>
      </c>
    </row>
    <row r="65" spans="1:1">
      <c r="A65" s="53" t="str">
        <f>HYPERLINK("#'Data'!A274", "wash_soap_access_overall")</f>
        <v>wash_soap_access_overall</v>
      </c>
    </row>
    <row r="66" spans="1:1">
      <c r="A66" s="53" t="str">
        <f>HYPERLINK("#'Data'!A278", "wash_toilet_facility_overall")</f>
        <v>wash_toilet_facility_overall</v>
      </c>
    </row>
    <row r="67" spans="1:1">
      <c r="A67" s="53" t="str">
        <f>HYPERLINK("#'Data'!A282", "wash_water_collect_time_overall")</f>
        <v>wash_water_collect_time_overall</v>
      </c>
    </row>
    <row r="68" spans="1:1">
      <c r="A68" s="53" t="str">
        <f>HYPERLINK("#'Data'!A286", "wash_water_interuption_num_days_overall")</f>
        <v>wash_water_interuption_num_days_overall</v>
      </c>
    </row>
    <row r="69" spans="1:1">
      <c r="A69" s="53" t="str">
        <f>HYPERLINK("#'Data'!A290", "wash_water_interuption_overall")</f>
        <v>wash_water_interuption_overall</v>
      </c>
    </row>
    <row r="70" spans="1:1">
      <c r="A70" s="53" t="str">
        <f>HYPERLINK("#'Data'!A294", "wash_water_source_overall")</f>
        <v>wash_water_source_overall</v>
      </c>
    </row>
    <row r="71" spans="1:1">
      <c r="A71" s="53" t="str">
        <f>HYPERLINK("#'Data'!A298", "wash_water_treatment_overall")</f>
        <v>wash_water_treatment_overall</v>
      </c>
    </row>
    <row r="72" spans="1:1">
      <c r="A72" s="53" t="str">
        <f>HYPERLINK("#'Data'!A302", "wash_wise_drink_overall")</f>
        <v>wash_wise_drink_overall</v>
      </c>
    </row>
    <row r="73" spans="1:1">
      <c r="A73" s="53" t="str">
        <f>HYPERLINK("#'Data'!A306", "wash_wise_hands_overall")</f>
        <v>wash_wise_hands_overall</v>
      </c>
    </row>
    <row r="74" spans="1:1">
      <c r="A74" s="53" t="str">
        <f>HYPERLINK("#'Data'!A310", "wash_wise_plans_overall")</f>
        <v>wash_wise_plans_overall</v>
      </c>
    </row>
    <row r="75" spans="1:1">
      <c r="A75" s="53" t="str">
        <f>HYPERLINK("#'Data'!A314", "wash_wise_worry_overall")</f>
        <v>wash_wise_worry_overall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16"/>
  <sheetViews>
    <sheetView workbookViewId="0"/>
  </sheetViews>
  <sheetFormatPr defaultColWidth="11.42578125" defaultRowHeight="15"/>
  <sheetData>
    <row r="1" spans="1:2">
      <c r="A1" t="s">
        <v>1</v>
      </c>
    </row>
    <row r="2" spans="1:2">
      <c r="A2" t="s">
        <v>2</v>
      </c>
      <c r="B2" t="s">
        <v>3</v>
      </c>
    </row>
    <row r="3" spans="1:2">
      <c r="A3">
        <v>250</v>
      </c>
      <c r="B3" t="s">
        <v>4</v>
      </c>
    </row>
    <row r="5" spans="1:2">
      <c r="A5" t="s">
        <v>5</v>
      </c>
    </row>
    <row r="6" spans="1:2">
      <c r="A6" t="s">
        <v>2</v>
      </c>
      <c r="B6" t="s">
        <v>6</v>
      </c>
    </row>
    <row r="7" spans="1:2">
      <c r="A7">
        <v>250</v>
      </c>
      <c r="B7" t="s">
        <v>4</v>
      </c>
    </row>
    <row r="9" spans="1:2">
      <c r="A9" t="s">
        <v>7</v>
      </c>
    </row>
    <row r="10" spans="1:2">
      <c r="A10" t="s">
        <v>2</v>
      </c>
      <c r="B10" t="s">
        <v>8</v>
      </c>
    </row>
    <row r="11" spans="1:2">
      <c r="A11">
        <v>250</v>
      </c>
      <c r="B11" t="s">
        <v>4</v>
      </c>
    </row>
    <row r="13" spans="1:2">
      <c r="A13" t="s">
        <v>9</v>
      </c>
    </row>
    <row r="14" spans="1:2">
      <c r="A14" t="s">
        <v>2</v>
      </c>
      <c r="B14" t="s">
        <v>8</v>
      </c>
    </row>
    <row r="15" spans="1:2">
      <c r="A15">
        <v>250</v>
      </c>
      <c r="B15" t="s">
        <v>4</v>
      </c>
    </row>
    <row r="17" spans="1:8">
      <c r="A17" t="s">
        <v>10</v>
      </c>
    </row>
    <row r="18" spans="1:8">
      <c r="A18" t="s">
        <v>2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</row>
    <row r="19" spans="1:8">
      <c r="A19">
        <v>1777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</row>
    <row r="21" spans="1:8">
      <c r="A21" t="s">
        <v>23</v>
      </c>
    </row>
    <row r="22" spans="1:8">
      <c r="A22" t="s">
        <v>2</v>
      </c>
      <c r="B22" t="s">
        <v>24</v>
      </c>
      <c r="C22" t="s">
        <v>25</v>
      </c>
      <c r="D22" t="s">
        <v>26</v>
      </c>
      <c r="E22" t="s">
        <v>27</v>
      </c>
    </row>
    <row r="23" spans="1:8">
      <c r="A23">
        <v>1777</v>
      </c>
      <c r="B23">
        <v>17.239999999999998</v>
      </c>
      <c r="C23">
        <v>12</v>
      </c>
      <c r="D23">
        <v>0</v>
      </c>
      <c r="E23">
        <v>90</v>
      </c>
    </row>
    <row r="25" spans="1:8">
      <c r="A25" t="s">
        <v>28</v>
      </c>
    </row>
    <row r="26" spans="1:8">
      <c r="A26" t="s">
        <v>2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</row>
    <row r="27" spans="1:8">
      <c r="A27">
        <v>250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</row>
    <row r="29" spans="1:8">
      <c r="A29" t="s">
        <v>39</v>
      </c>
    </row>
    <row r="30" spans="1:8">
      <c r="A30" t="s">
        <v>2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</row>
    <row r="31" spans="1:8">
      <c r="A31">
        <v>250</v>
      </c>
      <c r="B31" t="s">
        <v>47</v>
      </c>
      <c r="C31" t="s">
        <v>48</v>
      </c>
      <c r="D31" t="s">
        <v>49</v>
      </c>
      <c r="E31" t="s">
        <v>50</v>
      </c>
      <c r="F31" t="s">
        <v>38</v>
      </c>
      <c r="G31" t="s">
        <v>36</v>
      </c>
      <c r="H31" t="s">
        <v>51</v>
      </c>
    </row>
    <row r="33" spans="1:11">
      <c r="A33" t="s">
        <v>52</v>
      </c>
    </row>
    <row r="34" spans="1:11">
      <c r="A34" t="s">
        <v>2</v>
      </c>
      <c r="B34" t="s">
        <v>53</v>
      </c>
      <c r="C34" t="s">
        <v>54</v>
      </c>
      <c r="D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60</v>
      </c>
    </row>
    <row r="35" spans="1:11">
      <c r="A35">
        <v>250</v>
      </c>
      <c r="B35" t="s">
        <v>61</v>
      </c>
      <c r="C35" t="s">
        <v>62</v>
      </c>
      <c r="D35" t="s">
        <v>63</v>
      </c>
      <c r="E35" t="s">
        <v>62</v>
      </c>
      <c r="F35" t="s">
        <v>64</v>
      </c>
      <c r="G35" t="s">
        <v>65</v>
      </c>
      <c r="H35" t="s">
        <v>66</v>
      </c>
      <c r="I35" t="s">
        <v>67</v>
      </c>
    </row>
    <row r="37" spans="1:11">
      <c r="A37" t="s">
        <v>68</v>
      </c>
    </row>
    <row r="38" spans="1:11">
      <c r="A38" t="s">
        <v>2</v>
      </c>
      <c r="B38" t="s">
        <v>69</v>
      </c>
      <c r="C38" t="s">
        <v>70</v>
      </c>
      <c r="D38" t="s">
        <v>71</v>
      </c>
      <c r="E38" t="s">
        <v>72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78</v>
      </c>
    </row>
    <row r="39" spans="1:11">
      <c r="A39">
        <v>250</v>
      </c>
      <c r="B39" t="s">
        <v>79</v>
      </c>
      <c r="C39" t="s">
        <v>63</v>
      </c>
      <c r="D39" t="s">
        <v>80</v>
      </c>
      <c r="E39" t="s">
        <v>81</v>
      </c>
      <c r="F39" t="s">
        <v>64</v>
      </c>
      <c r="G39" t="s">
        <v>82</v>
      </c>
      <c r="H39" t="s">
        <v>65</v>
      </c>
      <c r="I39" t="s">
        <v>83</v>
      </c>
      <c r="J39" t="s">
        <v>83</v>
      </c>
      <c r="K39" t="s">
        <v>65</v>
      </c>
    </row>
    <row r="41" spans="1:11">
      <c r="A41" t="s">
        <v>84</v>
      </c>
    </row>
    <row r="42" spans="1:11">
      <c r="A42" t="s">
        <v>2</v>
      </c>
      <c r="B42" t="s">
        <v>85</v>
      </c>
      <c r="C42" t="s">
        <v>86</v>
      </c>
      <c r="D42" t="s">
        <v>87</v>
      </c>
      <c r="E42" t="s">
        <v>88</v>
      </c>
      <c r="F42" t="s">
        <v>89</v>
      </c>
      <c r="G42" t="s">
        <v>90</v>
      </c>
      <c r="H42" t="s">
        <v>91</v>
      </c>
    </row>
    <row r="43" spans="1:11">
      <c r="A43">
        <v>250</v>
      </c>
      <c r="B43" t="s">
        <v>65</v>
      </c>
      <c r="C43" t="s">
        <v>62</v>
      </c>
      <c r="D43" t="s">
        <v>92</v>
      </c>
      <c r="E43" t="s">
        <v>93</v>
      </c>
      <c r="F43" t="s">
        <v>62</v>
      </c>
      <c r="G43" t="s">
        <v>94</v>
      </c>
      <c r="H43" t="s">
        <v>95</v>
      </c>
    </row>
    <row r="45" spans="1:11">
      <c r="A45" t="s">
        <v>96</v>
      </c>
    </row>
    <row r="46" spans="1:11">
      <c r="A46" t="s">
        <v>2</v>
      </c>
      <c r="B46" t="s">
        <v>53</v>
      </c>
      <c r="C46" t="s">
        <v>54</v>
      </c>
      <c r="D46" t="s">
        <v>55</v>
      </c>
      <c r="E46" t="s">
        <v>56</v>
      </c>
      <c r="F46" t="s">
        <v>57</v>
      </c>
      <c r="G46" t="s">
        <v>58</v>
      </c>
      <c r="H46" t="s">
        <v>59</v>
      </c>
      <c r="I46" t="s">
        <v>60</v>
      </c>
    </row>
    <row r="47" spans="1:11">
      <c r="A47">
        <v>250</v>
      </c>
      <c r="B47" t="s">
        <v>97</v>
      </c>
      <c r="C47" t="s">
        <v>82</v>
      </c>
      <c r="D47" t="s">
        <v>20</v>
      </c>
      <c r="E47" t="s">
        <v>98</v>
      </c>
      <c r="F47" t="s">
        <v>99</v>
      </c>
      <c r="G47" t="s">
        <v>100</v>
      </c>
      <c r="H47" t="s">
        <v>101</v>
      </c>
      <c r="I47" t="s">
        <v>94</v>
      </c>
    </row>
    <row r="49" spans="1:29">
      <c r="A49" t="s">
        <v>102</v>
      </c>
    </row>
    <row r="50" spans="1:29">
      <c r="A50" t="s">
        <v>2</v>
      </c>
      <c r="B50" t="s">
        <v>53</v>
      </c>
      <c r="C50" t="s">
        <v>54</v>
      </c>
      <c r="D50" t="s">
        <v>55</v>
      </c>
      <c r="E50" t="s">
        <v>56</v>
      </c>
      <c r="F50" t="s">
        <v>57</v>
      </c>
      <c r="G50" t="s">
        <v>58</v>
      </c>
      <c r="H50" t="s">
        <v>59</v>
      </c>
      <c r="I50" t="s">
        <v>60</v>
      </c>
    </row>
    <row r="51" spans="1:29">
      <c r="A51">
        <v>250</v>
      </c>
      <c r="B51" t="s">
        <v>103</v>
      </c>
      <c r="C51" t="s">
        <v>104</v>
      </c>
      <c r="D51" t="s">
        <v>20</v>
      </c>
      <c r="E51" t="s">
        <v>51</v>
      </c>
      <c r="F51" t="s">
        <v>105</v>
      </c>
      <c r="G51" t="s">
        <v>106</v>
      </c>
      <c r="H51" t="s">
        <v>47</v>
      </c>
      <c r="I51" t="s">
        <v>107</v>
      </c>
    </row>
    <row r="53" spans="1:29">
      <c r="A53" t="s">
        <v>108</v>
      </c>
    </row>
    <row r="54" spans="1:29">
      <c r="A54" t="s">
        <v>2</v>
      </c>
      <c r="B54" t="s">
        <v>109</v>
      </c>
      <c r="C54" t="s">
        <v>110</v>
      </c>
      <c r="D54" t="s">
        <v>111</v>
      </c>
      <c r="E54" t="s">
        <v>112</v>
      </c>
      <c r="F54" t="s">
        <v>113</v>
      </c>
      <c r="G54" t="s">
        <v>114</v>
      </c>
      <c r="H54" t="s">
        <v>115</v>
      </c>
      <c r="I54" t="s">
        <v>116</v>
      </c>
      <c r="J54" t="s">
        <v>117</v>
      </c>
      <c r="K54" t="s">
        <v>118</v>
      </c>
      <c r="L54" t="s">
        <v>119</v>
      </c>
      <c r="M54" t="s">
        <v>120</v>
      </c>
      <c r="N54" t="s">
        <v>121</v>
      </c>
      <c r="O54" t="s">
        <v>122</v>
      </c>
      <c r="P54" t="s">
        <v>123</v>
      </c>
      <c r="Q54" t="s">
        <v>124</v>
      </c>
      <c r="R54" t="s">
        <v>125</v>
      </c>
      <c r="S54" t="s">
        <v>126</v>
      </c>
      <c r="T54" t="s">
        <v>127</v>
      </c>
      <c r="U54" t="s">
        <v>128</v>
      </c>
      <c r="V54" t="s">
        <v>129</v>
      </c>
      <c r="W54" t="s">
        <v>130</v>
      </c>
      <c r="X54" t="s">
        <v>131</v>
      </c>
      <c r="Y54" t="s">
        <v>132</v>
      </c>
      <c r="Z54" t="s">
        <v>77</v>
      </c>
      <c r="AA54" t="s">
        <v>78</v>
      </c>
      <c r="AB54" t="s">
        <v>133</v>
      </c>
    </row>
    <row r="55" spans="1:29">
      <c r="A55">
        <v>250</v>
      </c>
      <c r="B55" t="s">
        <v>134</v>
      </c>
      <c r="C55" t="s">
        <v>94</v>
      </c>
      <c r="D55" t="s">
        <v>83</v>
      </c>
      <c r="E55" t="s">
        <v>135</v>
      </c>
      <c r="F55" t="s">
        <v>136</v>
      </c>
      <c r="G55" t="s">
        <v>66</v>
      </c>
      <c r="H55" t="s">
        <v>99</v>
      </c>
      <c r="I55" t="s">
        <v>49</v>
      </c>
      <c r="J55" t="s">
        <v>63</v>
      </c>
      <c r="K55" t="s">
        <v>64</v>
      </c>
      <c r="L55" t="s">
        <v>62</v>
      </c>
      <c r="M55" t="s">
        <v>64</v>
      </c>
      <c r="N55" t="s">
        <v>83</v>
      </c>
      <c r="O55" t="s">
        <v>83</v>
      </c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65</v>
      </c>
      <c r="V55" t="s">
        <v>83</v>
      </c>
      <c r="W55" t="s">
        <v>83</v>
      </c>
      <c r="X55" t="s">
        <v>83</v>
      </c>
      <c r="Y55" t="s">
        <v>83</v>
      </c>
      <c r="Z55" t="s">
        <v>83</v>
      </c>
      <c r="AA55" t="s">
        <v>83</v>
      </c>
      <c r="AB55" t="s">
        <v>106</v>
      </c>
    </row>
    <row r="57" spans="1:29">
      <c r="A57" t="s">
        <v>137</v>
      </c>
    </row>
    <row r="58" spans="1:29">
      <c r="A58" t="s">
        <v>138</v>
      </c>
      <c r="B58" t="s">
        <v>2</v>
      </c>
      <c r="C58" t="s">
        <v>109</v>
      </c>
      <c r="D58" t="s">
        <v>110</v>
      </c>
      <c r="E58" t="s">
        <v>111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  <c r="L58" t="s">
        <v>118</v>
      </c>
      <c r="M58" t="s">
        <v>119</v>
      </c>
      <c r="N58" t="s">
        <v>120</v>
      </c>
      <c r="O58" t="s">
        <v>121</v>
      </c>
      <c r="P58" t="s">
        <v>122</v>
      </c>
      <c r="Q58" t="s">
        <v>123</v>
      </c>
      <c r="R58" t="s">
        <v>124</v>
      </c>
      <c r="S58" t="s">
        <v>125</v>
      </c>
      <c r="T58" t="s">
        <v>126</v>
      </c>
      <c r="U58" t="s">
        <v>127</v>
      </c>
      <c r="V58" t="s">
        <v>128</v>
      </c>
      <c r="W58" t="s">
        <v>129</v>
      </c>
      <c r="X58" t="s">
        <v>130</v>
      </c>
      <c r="Y58" t="s">
        <v>131</v>
      </c>
      <c r="Z58" t="s">
        <v>132</v>
      </c>
      <c r="AA58" t="s">
        <v>77</v>
      </c>
      <c r="AB58" t="s">
        <v>78</v>
      </c>
      <c r="AC58" t="s">
        <v>133</v>
      </c>
    </row>
    <row r="59" spans="1:29">
      <c r="A59" t="s">
        <v>139</v>
      </c>
      <c r="B59">
        <v>250</v>
      </c>
      <c r="C59" t="s">
        <v>134</v>
      </c>
      <c r="D59" t="s">
        <v>94</v>
      </c>
      <c r="E59" t="s">
        <v>83</v>
      </c>
      <c r="F59" t="s">
        <v>135</v>
      </c>
      <c r="G59" t="s">
        <v>136</v>
      </c>
      <c r="H59" t="s">
        <v>66</v>
      </c>
      <c r="I59" t="s">
        <v>99</v>
      </c>
      <c r="J59" t="s">
        <v>49</v>
      </c>
      <c r="K59" t="s">
        <v>63</v>
      </c>
      <c r="L59" t="s">
        <v>64</v>
      </c>
      <c r="M59" t="s">
        <v>62</v>
      </c>
      <c r="N59" t="s">
        <v>64</v>
      </c>
      <c r="O59" t="s">
        <v>83</v>
      </c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83</v>
      </c>
      <c r="V59" t="s">
        <v>65</v>
      </c>
      <c r="W59" t="s">
        <v>83</v>
      </c>
      <c r="X59" t="s">
        <v>83</v>
      </c>
      <c r="Y59" t="s">
        <v>83</v>
      </c>
      <c r="Z59" t="s">
        <v>83</v>
      </c>
      <c r="AA59" t="s">
        <v>83</v>
      </c>
      <c r="AB59" t="s">
        <v>83</v>
      </c>
      <c r="AC59" t="s">
        <v>106</v>
      </c>
    </row>
    <row r="61" spans="1:29">
      <c r="A61" t="s">
        <v>140</v>
      </c>
    </row>
    <row r="62" spans="1:29">
      <c r="A62" t="s">
        <v>141</v>
      </c>
      <c r="B62" t="s">
        <v>2</v>
      </c>
      <c r="C62" t="s">
        <v>109</v>
      </c>
      <c r="D62" t="s">
        <v>110</v>
      </c>
      <c r="E62" t="s">
        <v>111</v>
      </c>
      <c r="F62" t="s">
        <v>112</v>
      </c>
      <c r="G62" t="s">
        <v>113</v>
      </c>
      <c r="H62" t="s">
        <v>114</v>
      </c>
      <c r="I62" t="s">
        <v>115</v>
      </c>
      <c r="J62" t="s">
        <v>116</v>
      </c>
      <c r="K62" t="s">
        <v>117</v>
      </c>
      <c r="L62" t="s">
        <v>118</v>
      </c>
      <c r="M62" t="s">
        <v>119</v>
      </c>
      <c r="N62" t="s">
        <v>120</v>
      </c>
      <c r="O62" t="s">
        <v>121</v>
      </c>
      <c r="P62" t="s">
        <v>122</v>
      </c>
      <c r="Q62" t="s">
        <v>123</v>
      </c>
      <c r="R62" t="s">
        <v>124</v>
      </c>
      <c r="S62" t="s">
        <v>125</v>
      </c>
      <c r="T62" t="s">
        <v>126</v>
      </c>
      <c r="U62" t="s">
        <v>127</v>
      </c>
      <c r="V62" t="s">
        <v>128</v>
      </c>
      <c r="W62" t="s">
        <v>129</v>
      </c>
      <c r="X62" t="s">
        <v>130</v>
      </c>
      <c r="Y62" t="s">
        <v>131</v>
      </c>
      <c r="Z62" t="s">
        <v>132</v>
      </c>
      <c r="AA62" t="s">
        <v>77</v>
      </c>
      <c r="AB62" t="s">
        <v>78</v>
      </c>
      <c r="AC62" t="s">
        <v>133</v>
      </c>
    </row>
    <row r="63" spans="1:29">
      <c r="A63" t="s">
        <v>142</v>
      </c>
      <c r="B63">
        <v>66</v>
      </c>
      <c r="C63" t="s">
        <v>83</v>
      </c>
      <c r="D63" t="s">
        <v>143</v>
      </c>
      <c r="E63" t="s">
        <v>83</v>
      </c>
      <c r="F63" t="s">
        <v>144</v>
      </c>
      <c r="G63" t="s">
        <v>144</v>
      </c>
      <c r="H63" t="s">
        <v>145</v>
      </c>
      <c r="I63" t="s">
        <v>143</v>
      </c>
      <c r="J63" t="s">
        <v>146</v>
      </c>
      <c r="K63" t="s">
        <v>147</v>
      </c>
      <c r="L63" t="s">
        <v>83</v>
      </c>
      <c r="M63" t="s">
        <v>145</v>
      </c>
      <c r="N63" t="s">
        <v>145</v>
      </c>
      <c r="O63" t="s">
        <v>83</v>
      </c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83</v>
      </c>
      <c r="V63" t="s">
        <v>145</v>
      </c>
      <c r="W63" t="s">
        <v>83</v>
      </c>
      <c r="X63" t="s">
        <v>83</v>
      </c>
      <c r="Y63" t="s">
        <v>83</v>
      </c>
      <c r="Z63" t="s">
        <v>83</v>
      </c>
      <c r="AA63" t="s">
        <v>83</v>
      </c>
      <c r="AB63" t="s">
        <v>83</v>
      </c>
      <c r="AC63" t="s">
        <v>83</v>
      </c>
    </row>
    <row r="64" spans="1:29">
      <c r="A64" t="s">
        <v>148</v>
      </c>
      <c r="B64">
        <v>184</v>
      </c>
      <c r="C64" t="s">
        <v>149</v>
      </c>
      <c r="D64" t="s">
        <v>150</v>
      </c>
      <c r="E64" t="s">
        <v>83</v>
      </c>
      <c r="F64" t="s">
        <v>151</v>
      </c>
      <c r="G64" t="s">
        <v>152</v>
      </c>
      <c r="H64" t="s">
        <v>66</v>
      </c>
      <c r="I64" t="s">
        <v>38</v>
      </c>
      <c r="J64" t="s">
        <v>153</v>
      </c>
      <c r="K64" t="s">
        <v>154</v>
      </c>
      <c r="L64" t="s">
        <v>66</v>
      </c>
      <c r="M64" t="s">
        <v>155</v>
      </c>
      <c r="N64" t="s">
        <v>156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99</v>
      </c>
    </row>
    <row r="66" spans="1:6">
      <c r="A66" t="s">
        <v>157</v>
      </c>
    </row>
    <row r="67" spans="1:6">
      <c r="A67" t="s">
        <v>2</v>
      </c>
      <c r="B67" t="s">
        <v>158</v>
      </c>
      <c r="C67" t="s">
        <v>159</v>
      </c>
    </row>
    <row r="68" spans="1:6">
      <c r="A68">
        <v>250</v>
      </c>
      <c r="B68" t="s">
        <v>160</v>
      </c>
      <c r="C68" t="s">
        <v>161</v>
      </c>
    </row>
    <row r="70" spans="1:6">
      <c r="A70" t="s">
        <v>162</v>
      </c>
    </row>
    <row r="71" spans="1:6">
      <c r="A71" t="s">
        <v>138</v>
      </c>
      <c r="B71" t="s">
        <v>2</v>
      </c>
      <c r="C71" t="s">
        <v>158</v>
      </c>
      <c r="D71" t="s">
        <v>159</v>
      </c>
    </row>
    <row r="72" spans="1:6">
      <c r="A72" t="s">
        <v>139</v>
      </c>
      <c r="B72">
        <v>250</v>
      </c>
      <c r="C72" t="s">
        <v>160</v>
      </c>
      <c r="D72" t="s">
        <v>161</v>
      </c>
    </row>
    <row r="74" spans="1:6">
      <c r="A74" t="s">
        <v>163</v>
      </c>
    </row>
    <row r="75" spans="1:6">
      <c r="A75" t="s">
        <v>2</v>
      </c>
      <c r="B75" t="s">
        <v>158</v>
      </c>
      <c r="C75" t="s">
        <v>164</v>
      </c>
      <c r="D75" t="s">
        <v>165</v>
      </c>
      <c r="E75" t="s">
        <v>78</v>
      </c>
    </row>
    <row r="76" spans="1:6">
      <c r="A76">
        <v>1581</v>
      </c>
      <c r="B76" t="s">
        <v>17</v>
      </c>
      <c r="C76" t="s">
        <v>166</v>
      </c>
      <c r="D76" t="s">
        <v>167</v>
      </c>
      <c r="E76" t="s">
        <v>168</v>
      </c>
    </row>
    <row r="78" spans="1:6">
      <c r="A78" t="s">
        <v>169</v>
      </c>
    </row>
    <row r="79" spans="1:6">
      <c r="A79" t="s">
        <v>170</v>
      </c>
      <c r="B79" t="s">
        <v>2</v>
      </c>
      <c r="C79" t="s">
        <v>158</v>
      </c>
      <c r="D79" t="s">
        <v>164</v>
      </c>
      <c r="E79" t="s">
        <v>165</v>
      </c>
      <c r="F79" t="s">
        <v>78</v>
      </c>
    </row>
    <row r="80" spans="1:6">
      <c r="A80" t="s">
        <v>11</v>
      </c>
      <c r="B80">
        <v>85</v>
      </c>
      <c r="C80" t="s">
        <v>171</v>
      </c>
      <c r="D80" t="s">
        <v>172</v>
      </c>
      <c r="E80" t="s">
        <v>173</v>
      </c>
      <c r="F80" t="s">
        <v>83</v>
      </c>
    </row>
    <row r="81" spans="1:17">
      <c r="A81" t="s">
        <v>12</v>
      </c>
      <c r="B81">
        <v>243</v>
      </c>
      <c r="C81" t="s">
        <v>51</v>
      </c>
      <c r="D81" t="s">
        <v>174</v>
      </c>
      <c r="E81" t="s">
        <v>175</v>
      </c>
      <c r="F81" t="s">
        <v>83</v>
      </c>
    </row>
    <row r="82" spans="1:17">
      <c r="A82" t="s">
        <v>13</v>
      </c>
      <c r="B82">
        <v>304</v>
      </c>
      <c r="C82" t="s">
        <v>176</v>
      </c>
      <c r="D82" t="s">
        <v>177</v>
      </c>
      <c r="E82" t="s">
        <v>178</v>
      </c>
      <c r="F82" t="s">
        <v>83</v>
      </c>
    </row>
    <row r="83" spans="1:17">
      <c r="A83" t="s">
        <v>14</v>
      </c>
      <c r="B83">
        <v>292</v>
      </c>
      <c r="C83" t="s">
        <v>179</v>
      </c>
      <c r="D83" t="s">
        <v>180</v>
      </c>
      <c r="E83" t="s">
        <v>181</v>
      </c>
      <c r="F83" t="s">
        <v>182</v>
      </c>
    </row>
    <row r="84" spans="1:17">
      <c r="A84" t="s">
        <v>15</v>
      </c>
      <c r="B84">
        <v>612</v>
      </c>
      <c r="C84" t="s">
        <v>98</v>
      </c>
      <c r="D84" t="s">
        <v>145</v>
      </c>
      <c r="E84" t="s">
        <v>183</v>
      </c>
      <c r="F84" t="s">
        <v>184</v>
      </c>
    </row>
    <row r="85" spans="1:17">
      <c r="A85" t="s">
        <v>16</v>
      </c>
      <c r="B85">
        <v>45</v>
      </c>
      <c r="C85" t="s">
        <v>185</v>
      </c>
      <c r="D85" t="s">
        <v>83</v>
      </c>
      <c r="E85" t="s">
        <v>186</v>
      </c>
      <c r="F85" t="s">
        <v>187</v>
      </c>
    </row>
    <row r="87" spans="1:17">
      <c r="A87" t="s">
        <v>188</v>
      </c>
    </row>
    <row r="88" spans="1:17">
      <c r="A88" t="s">
        <v>189</v>
      </c>
      <c r="B88" t="s">
        <v>2</v>
      </c>
      <c r="C88" t="s">
        <v>158</v>
      </c>
      <c r="D88" t="s">
        <v>164</v>
      </c>
      <c r="E88" t="s">
        <v>165</v>
      </c>
      <c r="F88" t="s">
        <v>78</v>
      </c>
    </row>
    <row r="89" spans="1:17">
      <c r="A89" t="s">
        <v>190</v>
      </c>
      <c r="B89">
        <v>1581</v>
      </c>
      <c r="C89" t="s">
        <v>17</v>
      </c>
      <c r="D89" t="s">
        <v>166</v>
      </c>
      <c r="E89" t="s">
        <v>167</v>
      </c>
      <c r="F89" t="s">
        <v>168</v>
      </c>
    </row>
    <row r="91" spans="1:17">
      <c r="A91" t="s">
        <v>191</v>
      </c>
    </row>
    <row r="92" spans="1:17">
      <c r="A92" t="s">
        <v>2</v>
      </c>
      <c r="B92" t="s">
        <v>192</v>
      </c>
      <c r="C92" t="s">
        <v>193</v>
      </c>
      <c r="D92" t="s">
        <v>194</v>
      </c>
      <c r="E92" t="s">
        <v>195</v>
      </c>
      <c r="F92" t="s">
        <v>196</v>
      </c>
      <c r="G92" t="s">
        <v>197</v>
      </c>
      <c r="H92" t="s">
        <v>198</v>
      </c>
      <c r="I92" t="s">
        <v>199</v>
      </c>
      <c r="J92" t="s">
        <v>200</v>
      </c>
      <c r="K92" t="s">
        <v>201</v>
      </c>
      <c r="L92" t="s">
        <v>202</v>
      </c>
      <c r="M92" t="s">
        <v>203</v>
      </c>
      <c r="N92" t="s">
        <v>204</v>
      </c>
      <c r="O92" t="s">
        <v>76</v>
      </c>
      <c r="P92" t="s">
        <v>77</v>
      </c>
      <c r="Q92" t="s">
        <v>78</v>
      </c>
    </row>
    <row r="93" spans="1:17">
      <c r="A93">
        <v>176</v>
      </c>
      <c r="B93" t="s">
        <v>83</v>
      </c>
      <c r="C93" t="s">
        <v>205</v>
      </c>
      <c r="D93" t="s">
        <v>19</v>
      </c>
      <c r="E93" t="s">
        <v>206</v>
      </c>
      <c r="F93" t="s">
        <v>207</v>
      </c>
      <c r="G93" t="s">
        <v>83</v>
      </c>
      <c r="H93" t="s">
        <v>83</v>
      </c>
      <c r="I93" t="s">
        <v>205</v>
      </c>
      <c r="J93" t="s">
        <v>83</v>
      </c>
      <c r="K93" t="s">
        <v>83</v>
      </c>
      <c r="L93" t="s">
        <v>83</v>
      </c>
      <c r="M93" t="s">
        <v>208</v>
      </c>
      <c r="N93" t="s">
        <v>156</v>
      </c>
      <c r="O93" t="s">
        <v>83</v>
      </c>
      <c r="P93" t="s">
        <v>83</v>
      </c>
      <c r="Q93" t="s">
        <v>83</v>
      </c>
    </row>
    <row r="95" spans="1:17">
      <c r="A95" t="s">
        <v>209</v>
      </c>
    </row>
    <row r="96" spans="1:17">
      <c r="A96" t="s">
        <v>2</v>
      </c>
      <c r="B96" t="s">
        <v>158</v>
      </c>
      <c r="C96" t="s">
        <v>159</v>
      </c>
    </row>
    <row r="97" spans="1:4">
      <c r="A97">
        <v>1776</v>
      </c>
      <c r="B97" t="s">
        <v>210</v>
      </c>
      <c r="C97" t="s">
        <v>211</v>
      </c>
    </row>
    <row r="99" spans="1:4">
      <c r="A99" t="s">
        <v>212</v>
      </c>
    </row>
    <row r="100" spans="1:4">
      <c r="A100" t="s">
        <v>170</v>
      </c>
      <c r="B100" t="s">
        <v>2</v>
      </c>
      <c r="C100" t="s">
        <v>158</v>
      </c>
      <c r="D100" t="s">
        <v>159</v>
      </c>
    </row>
    <row r="101" spans="1:4">
      <c r="A101" t="s">
        <v>11</v>
      </c>
      <c r="B101">
        <v>280</v>
      </c>
      <c r="C101" t="s">
        <v>213</v>
      </c>
      <c r="D101" t="s">
        <v>214</v>
      </c>
    </row>
    <row r="102" spans="1:4">
      <c r="A102" t="s">
        <v>12</v>
      </c>
      <c r="B102">
        <v>243</v>
      </c>
      <c r="C102" t="s">
        <v>215</v>
      </c>
      <c r="D102" t="s">
        <v>216</v>
      </c>
    </row>
    <row r="103" spans="1:4">
      <c r="A103" t="s">
        <v>13</v>
      </c>
      <c r="B103">
        <v>304</v>
      </c>
      <c r="C103" t="s">
        <v>217</v>
      </c>
      <c r="D103" t="s">
        <v>153</v>
      </c>
    </row>
    <row r="104" spans="1:4">
      <c r="A104" t="s">
        <v>14</v>
      </c>
      <c r="B104">
        <v>292</v>
      </c>
      <c r="C104" t="s">
        <v>218</v>
      </c>
      <c r="D104" t="s">
        <v>219</v>
      </c>
    </row>
    <row r="105" spans="1:4">
      <c r="A105" t="s">
        <v>15</v>
      </c>
      <c r="B105">
        <v>612</v>
      </c>
      <c r="C105" t="s">
        <v>220</v>
      </c>
      <c r="D105" t="s">
        <v>221</v>
      </c>
    </row>
    <row r="106" spans="1:4">
      <c r="A106" t="s">
        <v>16</v>
      </c>
      <c r="B106">
        <v>45</v>
      </c>
      <c r="C106" t="s">
        <v>222</v>
      </c>
      <c r="D106" t="s">
        <v>223</v>
      </c>
    </row>
    <row r="108" spans="1:4">
      <c r="A108" t="s">
        <v>224</v>
      </c>
    </row>
    <row r="109" spans="1:4">
      <c r="A109" t="s">
        <v>189</v>
      </c>
      <c r="B109" t="s">
        <v>2</v>
      </c>
      <c r="C109" t="s">
        <v>158</v>
      </c>
      <c r="D109" t="s">
        <v>159</v>
      </c>
    </row>
    <row r="110" spans="1:4">
      <c r="A110" t="s">
        <v>190</v>
      </c>
      <c r="B110">
        <v>1776</v>
      </c>
      <c r="C110" t="s">
        <v>210</v>
      </c>
      <c r="D110" t="s">
        <v>211</v>
      </c>
    </row>
    <row r="112" spans="1:4">
      <c r="A112" t="s">
        <v>225</v>
      </c>
    </row>
    <row r="113" spans="1:5">
      <c r="A113" t="s">
        <v>138</v>
      </c>
      <c r="B113" t="s">
        <v>2</v>
      </c>
      <c r="C113" t="s">
        <v>158</v>
      </c>
      <c r="D113" t="s">
        <v>159</v>
      </c>
    </row>
    <row r="114" spans="1:5">
      <c r="A114" t="s">
        <v>139</v>
      </c>
      <c r="B114">
        <v>1776</v>
      </c>
      <c r="C114" t="s">
        <v>210</v>
      </c>
      <c r="D114" t="s">
        <v>211</v>
      </c>
    </row>
    <row r="116" spans="1:5">
      <c r="A116" t="s">
        <v>226</v>
      </c>
    </row>
    <row r="117" spans="1:5">
      <c r="A117" t="s">
        <v>2</v>
      </c>
      <c r="B117" t="s">
        <v>158</v>
      </c>
      <c r="C117" t="s">
        <v>164</v>
      </c>
      <c r="D117" t="s">
        <v>165</v>
      </c>
    </row>
    <row r="118" spans="1:5">
      <c r="A118">
        <v>380</v>
      </c>
      <c r="B118" t="s">
        <v>98</v>
      </c>
      <c r="C118" t="s">
        <v>227</v>
      </c>
      <c r="D118" t="s">
        <v>228</v>
      </c>
    </row>
    <row r="120" spans="1:5">
      <c r="A120" t="s">
        <v>229</v>
      </c>
    </row>
    <row r="121" spans="1:5">
      <c r="A121" t="s">
        <v>170</v>
      </c>
      <c r="B121" t="s">
        <v>2</v>
      </c>
      <c r="C121" t="s">
        <v>158</v>
      </c>
      <c r="D121" t="s">
        <v>164</v>
      </c>
      <c r="E121" t="s">
        <v>165</v>
      </c>
    </row>
    <row r="122" spans="1:5">
      <c r="A122" t="s">
        <v>11</v>
      </c>
      <c r="B122">
        <v>203</v>
      </c>
      <c r="C122" t="s">
        <v>230</v>
      </c>
      <c r="D122" t="s">
        <v>101</v>
      </c>
      <c r="E122" t="s">
        <v>231</v>
      </c>
    </row>
    <row r="123" spans="1:5">
      <c r="A123" t="s">
        <v>12</v>
      </c>
      <c r="B123">
        <v>177</v>
      </c>
      <c r="C123" t="s">
        <v>232</v>
      </c>
      <c r="D123" t="s">
        <v>233</v>
      </c>
      <c r="E123" t="s">
        <v>234</v>
      </c>
    </row>
    <row r="125" spans="1:5">
      <c r="A125" t="s">
        <v>235</v>
      </c>
    </row>
    <row r="126" spans="1:5">
      <c r="A126" t="s">
        <v>189</v>
      </c>
      <c r="B126" t="s">
        <v>2</v>
      </c>
      <c r="C126" t="s">
        <v>158</v>
      </c>
      <c r="D126" t="s">
        <v>164</v>
      </c>
      <c r="E126" t="s">
        <v>165</v>
      </c>
    </row>
    <row r="127" spans="1:5">
      <c r="A127" t="s">
        <v>190</v>
      </c>
      <c r="B127">
        <v>380</v>
      </c>
      <c r="C127" t="s">
        <v>98</v>
      </c>
      <c r="D127" t="s">
        <v>227</v>
      </c>
      <c r="E127" t="s">
        <v>228</v>
      </c>
    </row>
    <row r="129" spans="1:4">
      <c r="A129" t="s">
        <v>236</v>
      </c>
    </row>
    <row r="130" spans="1:4">
      <c r="A130" t="s">
        <v>2</v>
      </c>
      <c r="B130" t="s">
        <v>158</v>
      </c>
      <c r="C130" t="s">
        <v>159</v>
      </c>
    </row>
    <row r="131" spans="1:4">
      <c r="A131">
        <v>271</v>
      </c>
      <c r="B131" t="s">
        <v>237</v>
      </c>
      <c r="C131" t="s">
        <v>238</v>
      </c>
    </row>
    <row r="133" spans="1:4">
      <c r="A133" t="s">
        <v>239</v>
      </c>
    </row>
    <row r="134" spans="1:4">
      <c r="A134" t="s">
        <v>170</v>
      </c>
      <c r="B134" t="s">
        <v>2</v>
      </c>
      <c r="C134" t="s">
        <v>158</v>
      </c>
      <c r="D134" t="s">
        <v>159</v>
      </c>
    </row>
    <row r="135" spans="1:4">
      <c r="A135" t="s">
        <v>11</v>
      </c>
      <c r="B135">
        <v>92</v>
      </c>
      <c r="C135" t="s">
        <v>240</v>
      </c>
      <c r="D135" t="s">
        <v>241</v>
      </c>
    </row>
    <row r="136" spans="1:4">
      <c r="A136" t="s">
        <v>12</v>
      </c>
      <c r="B136">
        <v>45</v>
      </c>
      <c r="C136" t="s">
        <v>242</v>
      </c>
      <c r="D136" t="s">
        <v>243</v>
      </c>
    </row>
    <row r="137" spans="1:4">
      <c r="A137" t="s">
        <v>13</v>
      </c>
      <c r="B137">
        <v>28</v>
      </c>
      <c r="C137" t="s">
        <v>244</v>
      </c>
      <c r="D137" t="s">
        <v>245</v>
      </c>
    </row>
    <row r="138" spans="1:4">
      <c r="A138" t="s">
        <v>14</v>
      </c>
      <c r="B138">
        <v>24</v>
      </c>
      <c r="C138" t="s">
        <v>246</v>
      </c>
      <c r="D138" t="s">
        <v>246</v>
      </c>
    </row>
    <row r="139" spans="1:4">
      <c r="A139" t="s">
        <v>15</v>
      </c>
      <c r="B139">
        <v>78</v>
      </c>
      <c r="C139" t="s">
        <v>247</v>
      </c>
      <c r="D139" t="s">
        <v>248</v>
      </c>
    </row>
    <row r="140" spans="1:4">
      <c r="A140" t="s">
        <v>16</v>
      </c>
      <c r="B140">
        <v>4</v>
      </c>
      <c r="C140" t="s">
        <v>83</v>
      </c>
      <c r="D140" t="s">
        <v>4</v>
      </c>
    </row>
    <row r="142" spans="1:4">
      <c r="A142" t="s">
        <v>249</v>
      </c>
    </row>
    <row r="143" spans="1:4">
      <c r="A143" t="s">
        <v>189</v>
      </c>
      <c r="B143" t="s">
        <v>2</v>
      </c>
      <c r="C143" t="s">
        <v>158</v>
      </c>
      <c r="D143" t="s">
        <v>159</v>
      </c>
    </row>
    <row r="144" spans="1:4">
      <c r="A144" t="s">
        <v>190</v>
      </c>
      <c r="B144">
        <v>271</v>
      </c>
      <c r="C144" t="s">
        <v>237</v>
      </c>
      <c r="D144" t="s">
        <v>238</v>
      </c>
    </row>
    <row r="146" spans="1:15">
      <c r="A146" t="s">
        <v>250</v>
      </c>
    </row>
    <row r="147" spans="1:15">
      <c r="A147" t="s">
        <v>138</v>
      </c>
      <c r="B147" t="s">
        <v>2</v>
      </c>
      <c r="C147" t="s">
        <v>158</v>
      </c>
      <c r="D147" t="s">
        <v>159</v>
      </c>
    </row>
    <row r="148" spans="1:15">
      <c r="A148" t="s">
        <v>139</v>
      </c>
      <c r="B148">
        <v>271</v>
      </c>
      <c r="C148" t="s">
        <v>237</v>
      </c>
      <c r="D148" t="s">
        <v>238</v>
      </c>
    </row>
    <row r="150" spans="1:15">
      <c r="A150" t="s">
        <v>251</v>
      </c>
    </row>
    <row r="151" spans="1:15">
      <c r="A151" t="s">
        <v>2</v>
      </c>
      <c r="B151" t="s">
        <v>252</v>
      </c>
      <c r="C151" t="s">
        <v>253</v>
      </c>
      <c r="D151" t="s">
        <v>254</v>
      </c>
      <c r="E151" t="s">
        <v>255</v>
      </c>
      <c r="F151" t="s">
        <v>256</v>
      </c>
      <c r="G151" t="s">
        <v>257</v>
      </c>
      <c r="H151" t="s">
        <v>258</v>
      </c>
      <c r="I151" t="s">
        <v>259</v>
      </c>
      <c r="J151" t="s">
        <v>260</v>
      </c>
      <c r="K151" t="s">
        <v>261</v>
      </c>
      <c r="L151" t="s">
        <v>262</v>
      </c>
      <c r="M151" t="s">
        <v>76</v>
      </c>
      <c r="N151" t="s">
        <v>77</v>
      </c>
      <c r="O151" t="s">
        <v>78</v>
      </c>
    </row>
    <row r="152" spans="1:15">
      <c r="A152">
        <v>271</v>
      </c>
      <c r="B152" t="s">
        <v>263</v>
      </c>
      <c r="C152" t="s">
        <v>264</v>
      </c>
      <c r="D152" t="s">
        <v>265</v>
      </c>
      <c r="E152" t="s">
        <v>266</v>
      </c>
      <c r="F152" t="s">
        <v>266</v>
      </c>
      <c r="G152" t="s">
        <v>267</v>
      </c>
      <c r="H152" t="s">
        <v>145</v>
      </c>
      <c r="I152" t="s">
        <v>268</v>
      </c>
      <c r="J152" t="s">
        <v>269</v>
      </c>
      <c r="K152" t="s">
        <v>176</v>
      </c>
      <c r="L152" t="s">
        <v>270</v>
      </c>
      <c r="M152" t="s">
        <v>145</v>
      </c>
      <c r="N152" t="s">
        <v>83</v>
      </c>
      <c r="O152" t="s">
        <v>83</v>
      </c>
    </row>
    <row r="154" spans="1:15">
      <c r="A154" t="s">
        <v>271</v>
      </c>
    </row>
    <row r="155" spans="1:15">
      <c r="A155" t="s">
        <v>2</v>
      </c>
      <c r="B155" t="s">
        <v>158</v>
      </c>
      <c r="C155" t="s">
        <v>165</v>
      </c>
    </row>
    <row r="156" spans="1:15">
      <c r="A156">
        <v>409</v>
      </c>
      <c r="B156" t="s">
        <v>272</v>
      </c>
      <c r="C156" t="s">
        <v>273</v>
      </c>
    </row>
    <row r="158" spans="1:15">
      <c r="A158" t="s">
        <v>274</v>
      </c>
    </row>
    <row r="159" spans="1:15">
      <c r="A159" t="s">
        <v>170</v>
      </c>
      <c r="B159" t="s">
        <v>2</v>
      </c>
      <c r="C159" t="s">
        <v>158</v>
      </c>
      <c r="D159" t="s">
        <v>165</v>
      </c>
    </row>
    <row r="160" spans="1:15">
      <c r="A160" t="s">
        <v>11</v>
      </c>
      <c r="B160">
        <v>231</v>
      </c>
      <c r="C160" t="s">
        <v>275</v>
      </c>
      <c r="D160" t="s">
        <v>276</v>
      </c>
    </row>
    <row r="161" spans="1:11">
      <c r="A161" t="s">
        <v>12</v>
      </c>
      <c r="B161">
        <v>177</v>
      </c>
      <c r="C161" t="s">
        <v>272</v>
      </c>
      <c r="D161" t="s">
        <v>273</v>
      </c>
    </row>
    <row r="162" spans="1:11">
      <c r="A162" t="s">
        <v>13</v>
      </c>
      <c r="B162">
        <v>1</v>
      </c>
      <c r="C162" t="s">
        <v>4</v>
      </c>
      <c r="D162" t="s">
        <v>83</v>
      </c>
    </row>
    <row r="164" spans="1:11">
      <c r="A164" t="s">
        <v>277</v>
      </c>
    </row>
    <row r="165" spans="1:11">
      <c r="A165" t="s">
        <v>189</v>
      </c>
      <c r="B165" t="s">
        <v>2</v>
      </c>
      <c r="C165" t="s">
        <v>158</v>
      </c>
      <c r="D165" t="s">
        <v>165</v>
      </c>
    </row>
    <row r="166" spans="1:11">
      <c r="A166" t="s">
        <v>190</v>
      </c>
      <c r="B166">
        <v>409</v>
      </c>
      <c r="C166" t="s">
        <v>272</v>
      </c>
      <c r="D166" t="s">
        <v>273</v>
      </c>
    </row>
    <row r="168" spans="1:11">
      <c r="A168" t="s">
        <v>278</v>
      </c>
    </row>
    <row r="169" spans="1:11">
      <c r="A169" t="s">
        <v>2</v>
      </c>
      <c r="B169" t="s">
        <v>279</v>
      </c>
      <c r="C169" t="s">
        <v>280</v>
      </c>
      <c r="D169" t="s">
        <v>281</v>
      </c>
      <c r="E169" t="s">
        <v>282</v>
      </c>
      <c r="F169" t="s">
        <v>283</v>
      </c>
      <c r="G169" t="s">
        <v>284</v>
      </c>
      <c r="H169" t="s">
        <v>285</v>
      </c>
      <c r="I169" t="s">
        <v>286</v>
      </c>
      <c r="J169" t="s">
        <v>287</v>
      </c>
      <c r="K169" t="s">
        <v>288</v>
      </c>
    </row>
    <row r="170" spans="1:11">
      <c r="A170">
        <v>1777</v>
      </c>
      <c r="B170" t="s">
        <v>48</v>
      </c>
      <c r="C170" t="s">
        <v>20</v>
      </c>
      <c r="D170" t="s">
        <v>182</v>
      </c>
      <c r="E170" t="s">
        <v>289</v>
      </c>
      <c r="F170" t="s">
        <v>290</v>
      </c>
      <c r="G170" t="s">
        <v>268</v>
      </c>
      <c r="H170" t="s">
        <v>155</v>
      </c>
      <c r="I170" t="s">
        <v>291</v>
      </c>
      <c r="J170" t="s">
        <v>266</v>
      </c>
      <c r="K170" t="s">
        <v>292</v>
      </c>
    </row>
    <row r="172" spans="1:11">
      <c r="A172" t="s">
        <v>293</v>
      </c>
    </row>
    <row r="173" spans="1:11">
      <c r="A173" t="s">
        <v>2</v>
      </c>
      <c r="B173" t="s">
        <v>294</v>
      </c>
      <c r="C173" t="s">
        <v>295</v>
      </c>
    </row>
    <row r="174" spans="1:11">
      <c r="A174">
        <v>1777</v>
      </c>
      <c r="B174" t="s">
        <v>296</v>
      </c>
      <c r="C174" t="s">
        <v>297</v>
      </c>
    </row>
    <row r="176" spans="1:11">
      <c r="A176" t="s">
        <v>298</v>
      </c>
    </row>
    <row r="177" spans="1:5">
      <c r="A177" t="s">
        <v>2</v>
      </c>
      <c r="B177" t="s">
        <v>24</v>
      </c>
      <c r="C177" t="s">
        <v>25</v>
      </c>
      <c r="D177" t="s">
        <v>26</v>
      </c>
      <c r="E177" t="s">
        <v>27</v>
      </c>
    </row>
    <row r="178" spans="1:5">
      <c r="A178">
        <v>250</v>
      </c>
      <c r="B178">
        <v>7.11</v>
      </c>
      <c r="C178">
        <v>7</v>
      </c>
      <c r="D178">
        <v>3</v>
      </c>
      <c r="E178">
        <v>20</v>
      </c>
    </row>
    <row r="180" spans="1:5">
      <c r="A180" t="s">
        <v>299</v>
      </c>
    </row>
    <row r="181" spans="1:5">
      <c r="A181" t="s">
        <v>2</v>
      </c>
      <c r="B181" t="s">
        <v>158</v>
      </c>
      <c r="C181" t="s">
        <v>159</v>
      </c>
    </row>
    <row r="182" spans="1:5">
      <c r="A182">
        <v>409</v>
      </c>
      <c r="B182" t="s">
        <v>300</v>
      </c>
      <c r="C182" t="s">
        <v>301</v>
      </c>
    </row>
    <row r="184" spans="1:5">
      <c r="A184" t="s">
        <v>302</v>
      </c>
    </row>
    <row r="185" spans="1:5">
      <c r="A185" t="s">
        <v>2</v>
      </c>
      <c r="B185" t="s">
        <v>158</v>
      </c>
      <c r="C185" t="s">
        <v>159</v>
      </c>
    </row>
    <row r="186" spans="1:5">
      <c r="A186">
        <v>409</v>
      </c>
      <c r="B186" t="s">
        <v>303</v>
      </c>
      <c r="C186" t="s">
        <v>304</v>
      </c>
    </row>
    <row r="188" spans="1:5">
      <c r="A188" t="s">
        <v>305</v>
      </c>
    </row>
    <row r="189" spans="1:5">
      <c r="A189" t="s">
        <v>2</v>
      </c>
      <c r="B189" t="s">
        <v>306</v>
      </c>
      <c r="C189" t="s">
        <v>307</v>
      </c>
      <c r="D189" t="s">
        <v>308</v>
      </c>
      <c r="E189" t="s">
        <v>309</v>
      </c>
    </row>
    <row r="190" spans="1:5">
      <c r="A190">
        <v>31</v>
      </c>
      <c r="B190" t="s">
        <v>310</v>
      </c>
      <c r="C190" t="s">
        <v>310</v>
      </c>
      <c r="D190" t="s">
        <v>311</v>
      </c>
      <c r="E190" t="s">
        <v>312</v>
      </c>
    </row>
    <row r="192" spans="1:5">
      <c r="A192" t="s">
        <v>313</v>
      </c>
    </row>
    <row r="193" spans="1:13">
      <c r="A193" t="s">
        <v>314</v>
      </c>
      <c r="B193" t="s">
        <v>2</v>
      </c>
      <c r="C193" t="s">
        <v>306</v>
      </c>
      <c r="D193" t="s">
        <v>307</v>
      </c>
      <c r="E193" t="s">
        <v>308</v>
      </c>
      <c r="F193" t="s">
        <v>309</v>
      </c>
    </row>
    <row r="194" spans="1:13">
      <c r="A194" t="s">
        <v>315</v>
      </c>
      <c r="B194">
        <v>21</v>
      </c>
      <c r="C194" t="s">
        <v>316</v>
      </c>
      <c r="D194" t="s">
        <v>317</v>
      </c>
      <c r="E194" t="s">
        <v>318</v>
      </c>
      <c r="F194" t="s">
        <v>317</v>
      </c>
    </row>
    <row r="195" spans="1:13">
      <c r="A195" t="s">
        <v>319</v>
      </c>
      <c r="B195">
        <v>10</v>
      </c>
      <c r="C195" t="s">
        <v>83</v>
      </c>
      <c r="D195" t="s">
        <v>290</v>
      </c>
      <c r="E195" t="s">
        <v>320</v>
      </c>
      <c r="F195" t="s">
        <v>83</v>
      </c>
    </row>
    <row r="197" spans="1:13">
      <c r="A197" t="s">
        <v>321</v>
      </c>
    </row>
    <row r="198" spans="1:13">
      <c r="A198" t="s">
        <v>322</v>
      </c>
      <c r="B198" t="s">
        <v>2</v>
      </c>
      <c r="C198" t="s">
        <v>306</v>
      </c>
      <c r="D198" t="s">
        <v>307</v>
      </c>
      <c r="E198" t="s">
        <v>308</v>
      </c>
      <c r="F198" t="s">
        <v>309</v>
      </c>
    </row>
    <row r="199" spans="1:13">
      <c r="A199" t="s">
        <v>190</v>
      </c>
      <c r="B199">
        <v>31</v>
      </c>
      <c r="C199" t="s">
        <v>310</v>
      </c>
      <c r="D199" t="s">
        <v>310</v>
      </c>
      <c r="E199" t="s">
        <v>311</v>
      </c>
      <c r="F199" t="s">
        <v>312</v>
      </c>
    </row>
    <row r="201" spans="1:13">
      <c r="A201" t="s">
        <v>323</v>
      </c>
    </row>
    <row r="202" spans="1:13">
      <c r="A202" t="s">
        <v>2</v>
      </c>
      <c r="B202" t="s">
        <v>324</v>
      </c>
      <c r="C202" t="s">
        <v>325</v>
      </c>
      <c r="D202" t="s">
        <v>326</v>
      </c>
      <c r="E202" t="s">
        <v>327</v>
      </c>
      <c r="F202" t="s">
        <v>328</v>
      </c>
      <c r="G202" t="s">
        <v>329</v>
      </c>
      <c r="H202" t="s">
        <v>330</v>
      </c>
      <c r="I202" t="s">
        <v>331</v>
      </c>
      <c r="J202" t="s">
        <v>332</v>
      </c>
      <c r="K202" t="s">
        <v>76</v>
      </c>
      <c r="L202" t="s">
        <v>78</v>
      </c>
    </row>
    <row r="203" spans="1:13">
      <c r="A203">
        <v>409</v>
      </c>
      <c r="B203" t="s">
        <v>333</v>
      </c>
      <c r="C203" t="s">
        <v>334</v>
      </c>
      <c r="D203" t="s">
        <v>335</v>
      </c>
      <c r="E203" t="s">
        <v>336</v>
      </c>
      <c r="F203" t="s">
        <v>337</v>
      </c>
      <c r="G203" t="s">
        <v>338</v>
      </c>
      <c r="H203" t="s">
        <v>268</v>
      </c>
      <c r="I203" t="s">
        <v>83</v>
      </c>
      <c r="J203" t="s">
        <v>83</v>
      </c>
      <c r="K203" t="s">
        <v>83</v>
      </c>
      <c r="L203" t="s">
        <v>83</v>
      </c>
    </row>
    <row r="205" spans="1:13">
      <c r="A205" t="s">
        <v>339</v>
      </c>
    </row>
    <row r="206" spans="1:13">
      <c r="A206" t="s">
        <v>322</v>
      </c>
      <c r="B206" t="s">
        <v>2</v>
      </c>
      <c r="C206" t="s">
        <v>324</v>
      </c>
      <c r="D206" t="s">
        <v>325</v>
      </c>
      <c r="E206" t="s">
        <v>326</v>
      </c>
      <c r="F206" t="s">
        <v>327</v>
      </c>
      <c r="G206" t="s">
        <v>328</v>
      </c>
      <c r="H206" t="s">
        <v>329</v>
      </c>
      <c r="I206" t="s">
        <v>330</v>
      </c>
      <c r="J206" t="s">
        <v>331</v>
      </c>
      <c r="K206" t="s">
        <v>332</v>
      </c>
      <c r="L206" t="s">
        <v>76</v>
      </c>
      <c r="M206" t="s">
        <v>78</v>
      </c>
    </row>
    <row r="207" spans="1:13">
      <c r="A207" t="s">
        <v>190</v>
      </c>
      <c r="B207">
        <v>409</v>
      </c>
      <c r="C207" t="s">
        <v>333</v>
      </c>
      <c r="D207" t="s">
        <v>334</v>
      </c>
      <c r="E207" t="s">
        <v>335</v>
      </c>
      <c r="F207" t="s">
        <v>336</v>
      </c>
      <c r="G207" t="s">
        <v>337</v>
      </c>
      <c r="H207" t="s">
        <v>338</v>
      </c>
      <c r="I207" t="s">
        <v>268</v>
      </c>
      <c r="J207" t="s">
        <v>83</v>
      </c>
      <c r="K207" t="s">
        <v>83</v>
      </c>
      <c r="L207" t="s">
        <v>83</v>
      </c>
      <c r="M207" t="s">
        <v>83</v>
      </c>
    </row>
    <row r="209" spans="1:12">
      <c r="A209" t="s">
        <v>340</v>
      </c>
    </row>
    <row r="210" spans="1:12">
      <c r="A210" t="s">
        <v>2</v>
      </c>
      <c r="B210" t="s">
        <v>158</v>
      </c>
    </row>
    <row r="211" spans="1:12">
      <c r="A211">
        <v>4</v>
      </c>
      <c r="B211" t="s">
        <v>4</v>
      </c>
    </row>
    <row r="213" spans="1:12">
      <c r="A213" t="s">
        <v>341</v>
      </c>
    </row>
    <row r="214" spans="1:12">
      <c r="A214" t="s">
        <v>2</v>
      </c>
      <c r="B214" t="s">
        <v>158</v>
      </c>
      <c r="C214" t="s">
        <v>159</v>
      </c>
    </row>
    <row r="215" spans="1:12">
      <c r="A215">
        <v>361</v>
      </c>
      <c r="B215" t="s">
        <v>342</v>
      </c>
      <c r="C215" t="s">
        <v>156</v>
      </c>
    </row>
    <row r="217" spans="1:12">
      <c r="A217" t="s">
        <v>343</v>
      </c>
    </row>
    <row r="218" spans="1:12">
      <c r="A218" t="s">
        <v>2</v>
      </c>
      <c r="B218" t="s">
        <v>344</v>
      </c>
      <c r="C218" t="s">
        <v>345</v>
      </c>
      <c r="D218" t="s">
        <v>346</v>
      </c>
      <c r="E218" t="s">
        <v>347</v>
      </c>
      <c r="F218" t="s">
        <v>348</v>
      </c>
      <c r="G218" t="s">
        <v>349</v>
      </c>
      <c r="H218" t="s">
        <v>350</v>
      </c>
      <c r="I218" t="s">
        <v>351</v>
      </c>
      <c r="J218" t="s">
        <v>77</v>
      </c>
      <c r="K218" t="s">
        <v>76</v>
      </c>
    </row>
    <row r="219" spans="1:12">
      <c r="A219">
        <v>409</v>
      </c>
      <c r="B219" t="s">
        <v>152</v>
      </c>
      <c r="C219" t="s">
        <v>304</v>
      </c>
      <c r="D219" t="s">
        <v>352</v>
      </c>
      <c r="E219" t="s">
        <v>353</v>
      </c>
      <c r="F219" t="s">
        <v>354</v>
      </c>
      <c r="G219" t="s">
        <v>83</v>
      </c>
      <c r="H219" t="s">
        <v>338</v>
      </c>
      <c r="I219" t="s">
        <v>83</v>
      </c>
      <c r="J219" t="s">
        <v>83</v>
      </c>
      <c r="K219" t="s">
        <v>83</v>
      </c>
    </row>
    <row r="221" spans="1:12">
      <c r="A221" t="s">
        <v>355</v>
      </c>
    </row>
    <row r="222" spans="1:12">
      <c r="A222" t="s">
        <v>322</v>
      </c>
      <c r="B222" t="s">
        <v>2</v>
      </c>
      <c r="C222" t="s">
        <v>344</v>
      </c>
      <c r="D222" t="s">
        <v>345</v>
      </c>
      <c r="E222" t="s">
        <v>346</v>
      </c>
      <c r="F222" t="s">
        <v>347</v>
      </c>
      <c r="G222" t="s">
        <v>348</v>
      </c>
      <c r="H222" t="s">
        <v>349</v>
      </c>
      <c r="I222" t="s">
        <v>350</v>
      </c>
      <c r="J222" t="s">
        <v>351</v>
      </c>
      <c r="K222" t="s">
        <v>77</v>
      </c>
      <c r="L222" t="s">
        <v>76</v>
      </c>
    </row>
    <row r="223" spans="1:12">
      <c r="A223" t="s">
        <v>190</v>
      </c>
      <c r="B223">
        <v>409</v>
      </c>
      <c r="C223" t="s">
        <v>152</v>
      </c>
      <c r="D223" t="s">
        <v>304</v>
      </c>
      <c r="E223" t="s">
        <v>352</v>
      </c>
      <c r="F223" t="s">
        <v>353</v>
      </c>
      <c r="G223" t="s">
        <v>354</v>
      </c>
      <c r="H223" t="s">
        <v>83</v>
      </c>
      <c r="I223" t="s">
        <v>338</v>
      </c>
      <c r="J223" t="s">
        <v>83</v>
      </c>
      <c r="K223" t="s">
        <v>83</v>
      </c>
      <c r="L223" t="s">
        <v>83</v>
      </c>
    </row>
    <row r="225" spans="1:6">
      <c r="A225" t="s">
        <v>356</v>
      </c>
    </row>
    <row r="226" spans="1:6">
      <c r="A226" t="s">
        <v>2</v>
      </c>
      <c r="B226" t="s">
        <v>24</v>
      </c>
      <c r="C226" t="s">
        <v>25</v>
      </c>
      <c r="D226" t="s">
        <v>26</v>
      </c>
      <c r="E226" t="s">
        <v>27</v>
      </c>
    </row>
    <row r="227" spans="1:6">
      <c r="A227">
        <v>361</v>
      </c>
      <c r="B227">
        <v>14.1</v>
      </c>
      <c r="C227">
        <v>14</v>
      </c>
      <c r="D227">
        <v>9.1</v>
      </c>
      <c r="E227">
        <v>18.8</v>
      </c>
    </row>
    <row r="229" spans="1:6">
      <c r="A229" t="s">
        <v>357</v>
      </c>
    </row>
    <row r="230" spans="1:6">
      <c r="A230" t="s">
        <v>314</v>
      </c>
      <c r="B230" t="s">
        <v>2</v>
      </c>
      <c r="C230" t="s">
        <v>24</v>
      </c>
      <c r="D230" t="s">
        <v>25</v>
      </c>
      <c r="E230" t="s">
        <v>26</v>
      </c>
      <c r="F230" t="s">
        <v>27</v>
      </c>
    </row>
    <row r="231" spans="1:6">
      <c r="A231" t="s">
        <v>315</v>
      </c>
      <c r="B231">
        <v>145</v>
      </c>
      <c r="C231">
        <v>13.51</v>
      </c>
      <c r="D231">
        <v>13.5</v>
      </c>
      <c r="E231">
        <v>9.6</v>
      </c>
      <c r="F231">
        <v>18</v>
      </c>
    </row>
    <row r="232" spans="1:6">
      <c r="A232" t="s">
        <v>319</v>
      </c>
      <c r="B232">
        <v>216</v>
      </c>
      <c r="C232">
        <v>14.49</v>
      </c>
      <c r="D232">
        <v>14.4</v>
      </c>
      <c r="E232">
        <v>9.1</v>
      </c>
      <c r="F232">
        <v>18.8</v>
      </c>
    </row>
    <row r="234" spans="1:6">
      <c r="A234" t="s">
        <v>358</v>
      </c>
    </row>
    <row r="235" spans="1:6">
      <c r="A235" t="s">
        <v>322</v>
      </c>
      <c r="B235" t="s">
        <v>2</v>
      </c>
      <c r="C235" t="s">
        <v>24</v>
      </c>
      <c r="D235" t="s">
        <v>25</v>
      </c>
      <c r="E235" t="s">
        <v>26</v>
      </c>
      <c r="F235" t="s">
        <v>27</v>
      </c>
    </row>
    <row r="236" spans="1:6">
      <c r="B236">
        <v>361</v>
      </c>
      <c r="C236">
        <v>14.1</v>
      </c>
      <c r="D236">
        <v>14</v>
      </c>
      <c r="E236">
        <v>9.1</v>
      </c>
      <c r="F236">
        <v>18.8</v>
      </c>
    </row>
    <row r="238" spans="1:6">
      <c r="A238" t="s">
        <v>359</v>
      </c>
    </row>
    <row r="239" spans="1:6">
      <c r="A239" t="s">
        <v>2</v>
      </c>
      <c r="B239" t="s">
        <v>139</v>
      </c>
    </row>
    <row r="240" spans="1:6">
      <c r="A240">
        <v>250</v>
      </c>
      <c r="B240" t="s">
        <v>4</v>
      </c>
    </row>
    <row r="242" spans="1:22">
      <c r="A242" t="s">
        <v>360</v>
      </c>
    </row>
    <row r="243" spans="1:22">
      <c r="A243" t="s">
        <v>2</v>
      </c>
      <c r="B243" t="s">
        <v>159</v>
      </c>
    </row>
    <row r="244" spans="1:22">
      <c r="A244">
        <v>250</v>
      </c>
      <c r="B244" t="s">
        <v>4</v>
      </c>
    </row>
    <row r="246" spans="1:22">
      <c r="A246" t="s">
        <v>361</v>
      </c>
    </row>
    <row r="247" spans="1:22">
      <c r="A247" t="s">
        <v>2</v>
      </c>
      <c r="B247" t="s">
        <v>362</v>
      </c>
      <c r="C247" t="s">
        <v>363</v>
      </c>
      <c r="D247" t="s">
        <v>364</v>
      </c>
      <c r="E247" t="s">
        <v>365</v>
      </c>
      <c r="F247" t="s">
        <v>366</v>
      </c>
      <c r="G247" t="s">
        <v>367</v>
      </c>
    </row>
    <row r="248" spans="1:22">
      <c r="A248">
        <v>250</v>
      </c>
      <c r="B248" t="s">
        <v>20</v>
      </c>
      <c r="C248" t="s">
        <v>66</v>
      </c>
      <c r="D248" t="s">
        <v>368</v>
      </c>
      <c r="E248" t="s">
        <v>246</v>
      </c>
      <c r="F248" t="s">
        <v>64</v>
      </c>
      <c r="G248" t="s">
        <v>35</v>
      </c>
    </row>
    <row r="250" spans="1:22">
      <c r="A250" t="s">
        <v>369</v>
      </c>
    </row>
    <row r="251" spans="1:22">
      <c r="A251" t="s">
        <v>2</v>
      </c>
      <c r="B251" t="s">
        <v>158</v>
      </c>
      <c r="C251" t="s">
        <v>159</v>
      </c>
    </row>
    <row r="252" spans="1:22">
      <c r="A252">
        <v>250</v>
      </c>
      <c r="B252" t="s">
        <v>370</v>
      </c>
      <c r="C252" t="s">
        <v>371</v>
      </c>
    </row>
    <row r="254" spans="1:22">
      <c r="A254" t="s">
        <v>372</v>
      </c>
    </row>
    <row r="255" spans="1:22">
      <c r="A255" t="s">
        <v>2</v>
      </c>
      <c r="B255" t="s">
        <v>87</v>
      </c>
      <c r="C255" t="s">
        <v>85</v>
      </c>
      <c r="D255" t="s">
        <v>373</v>
      </c>
      <c r="E255" t="s">
        <v>86</v>
      </c>
      <c r="F255" t="s">
        <v>91</v>
      </c>
      <c r="G255" t="s">
        <v>88</v>
      </c>
      <c r="H255" t="s">
        <v>89</v>
      </c>
      <c r="I255" t="s">
        <v>90</v>
      </c>
      <c r="J255" t="s">
        <v>374</v>
      </c>
      <c r="K255" t="s">
        <v>375</v>
      </c>
      <c r="L255" t="s">
        <v>376</v>
      </c>
      <c r="M255" t="s">
        <v>377</v>
      </c>
      <c r="N255" t="s">
        <v>378</v>
      </c>
      <c r="O255" t="s">
        <v>379</v>
      </c>
      <c r="P255" t="s">
        <v>380</v>
      </c>
      <c r="Q255" t="s">
        <v>381</v>
      </c>
      <c r="R255" t="s">
        <v>382</v>
      </c>
      <c r="S255" t="s">
        <v>383</v>
      </c>
      <c r="T255" t="s">
        <v>76</v>
      </c>
      <c r="U255" t="s">
        <v>77</v>
      </c>
      <c r="V255" t="s">
        <v>78</v>
      </c>
    </row>
    <row r="256" spans="1:22">
      <c r="A256">
        <v>56</v>
      </c>
      <c r="B256" t="s">
        <v>384</v>
      </c>
      <c r="C256" t="s">
        <v>83</v>
      </c>
      <c r="D256" t="s">
        <v>266</v>
      </c>
      <c r="E256" t="s">
        <v>83</v>
      </c>
      <c r="F256" t="s">
        <v>385</v>
      </c>
      <c r="G256" t="s">
        <v>83</v>
      </c>
      <c r="H256" t="s">
        <v>370</v>
      </c>
      <c r="I256" t="s">
        <v>386</v>
      </c>
      <c r="J256" t="s">
        <v>83</v>
      </c>
      <c r="K256" t="s">
        <v>83</v>
      </c>
      <c r="L256" t="s">
        <v>83</v>
      </c>
      <c r="M256" t="s">
        <v>83</v>
      </c>
      <c r="N256" t="s">
        <v>266</v>
      </c>
      <c r="O256" t="s">
        <v>83</v>
      </c>
      <c r="P256" t="s">
        <v>266</v>
      </c>
      <c r="Q256" t="s">
        <v>83</v>
      </c>
      <c r="R256" t="s">
        <v>266</v>
      </c>
      <c r="S256" t="s">
        <v>370</v>
      </c>
      <c r="T256" t="s">
        <v>83</v>
      </c>
      <c r="U256" t="s">
        <v>83</v>
      </c>
      <c r="V256" t="s">
        <v>83</v>
      </c>
    </row>
    <row r="258" spans="1:5">
      <c r="A258" t="s">
        <v>387</v>
      </c>
    </row>
    <row r="259" spans="1:5">
      <c r="A259" t="s">
        <v>2</v>
      </c>
      <c r="B259" t="s">
        <v>24</v>
      </c>
      <c r="C259" t="s">
        <v>25</v>
      </c>
      <c r="D259" t="s">
        <v>26</v>
      </c>
      <c r="E259" t="s">
        <v>27</v>
      </c>
    </row>
    <row r="260" spans="1:5">
      <c r="A260">
        <v>250</v>
      </c>
      <c r="B260">
        <v>185.26</v>
      </c>
      <c r="C260">
        <v>36</v>
      </c>
      <c r="D260">
        <v>10</v>
      </c>
      <c r="E260">
        <v>3500</v>
      </c>
    </row>
    <row r="262" spans="1:5">
      <c r="A262" t="s">
        <v>388</v>
      </c>
    </row>
    <row r="263" spans="1:5">
      <c r="A263" t="s">
        <v>2</v>
      </c>
      <c r="B263" t="s">
        <v>24</v>
      </c>
      <c r="C263" t="s">
        <v>25</v>
      </c>
      <c r="D263" t="s">
        <v>26</v>
      </c>
      <c r="E263" t="s">
        <v>27</v>
      </c>
    </row>
    <row r="264" spans="1:5">
      <c r="A264">
        <v>40</v>
      </c>
      <c r="B264">
        <v>2.95</v>
      </c>
      <c r="C264">
        <v>3</v>
      </c>
      <c r="D264">
        <v>1</v>
      </c>
      <c r="E264">
        <v>7</v>
      </c>
    </row>
    <row r="266" spans="1:5">
      <c r="A266" t="s">
        <v>389</v>
      </c>
    </row>
    <row r="267" spans="1:5">
      <c r="A267" t="s">
        <v>2</v>
      </c>
      <c r="B267" t="s">
        <v>158</v>
      </c>
      <c r="C267" t="s">
        <v>159</v>
      </c>
    </row>
    <row r="268" spans="1:5">
      <c r="A268">
        <v>250</v>
      </c>
      <c r="B268" t="s">
        <v>228</v>
      </c>
      <c r="C268" t="s">
        <v>390</v>
      </c>
    </row>
    <row r="270" spans="1:5">
      <c r="A270" t="s">
        <v>391</v>
      </c>
    </row>
    <row r="271" spans="1:5">
      <c r="A271" t="s">
        <v>2</v>
      </c>
      <c r="B271" t="s">
        <v>158</v>
      </c>
      <c r="C271" t="s">
        <v>159</v>
      </c>
    </row>
    <row r="272" spans="1:5">
      <c r="A272">
        <v>70</v>
      </c>
      <c r="B272" t="s">
        <v>392</v>
      </c>
      <c r="C272" t="s">
        <v>393</v>
      </c>
    </row>
    <row r="274" spans="1:7">
      <c r="A274" t="s">
        <v>394</v>
      </c>
    </row>
    <row r="275" spans="1:7">
      <c r="A275" t="s">
        <v>2</v>
      </c>
      <c r="B275" t="s">
        <v>395</v>
      </c>
      <c r="C275" t="s">
        <v>396</v>
      </c>
      <c r="D275" t="s">
        <v>397</v>
      </c>
    </row>
    <row r="276" spans="1:7">
      <c r="A276">
        <v>250</v>
      </c>
      <c r="B276" t="s">
        <v>80</v>
      </c>
      <c r="C276" t="s">
        <v>398</v>
      </c>
      <c r="D276" t="s">
        <v>399</v>
      </c>
    </row>
    <row r="278" spans="1:7">
      <c r="A278" t="s">
        <v>400</v>
      </c>
    </row>
    <row r="279" spans="1:7">
      <c r="A279" t="s">
        <v>2</v>
      </c>
      <c r="B279" t="s">
        <v>401</v>
      </c>
      <c r="C279" t="s">
        <v>402</v>
      </c>
      <c r="D279" t="s">
        <v>403</v>
      </c>
      <c r="E279" t="s">
        <v>404</v>
      </c>
      <c r="F279" t="s">
        <v>405</v>
      </c>
      <c r="G279" t="s">
        <v>78</v>
      </c>
    </row>
    <row r="280" spans="1:7">
      <c r="A280">
        <v>250</v>
      </c>
      <c r="B280" t="s">
        <v>406</v>
      </c>
      <c r="C280" t="s">
        <v>407</v>
      </c>
      <c r="D280" t="s">
        <v>408</v>
      </c>
      <c r="E280" t="s">
        <v>93</v>
      </c>
      <c r="F280" t="s">
        <v>94</v>
      </c>
      <c r="G280" t="s">
        <v>62</v>
      </c>
    </row>
    <row r="282" spans="1:7">
      <c r="A282" t="s">
        <v>409</v>
      </c>
    </row>
    <row r="283" spans="1:7">
      <c r="A283" t="s">
        <v>2</v>
      </c>
      <c r="B283" t="s">
        <v>410</v>
      </c>
      <c r="C283" t="s">
        <v>411</v>
      </c>
    </row>
    <row r="284" spans="1:7">
      <c r="A284">
        <v>247</v>
      </c>
      <c r="B284" t="s">
        <v>62</v>
      </c>
      <c r="C284" t="s">
        <v>412</v>
      </c>
    </row>
    <row r="286" spans="1:7">
      <c r="A286" t="s">
        <v>413</v>
      </c>
    </row>
    <row r="287" spans="1:7">
      <c r="A287" t="s">
        <v>2</v>
      </c>
      <c r="B287" t="s">
        <v>24</v>
      </c>
      <c r="C287" t="s">
        <v>25</v>
      </c>
      <c r="D287" t="s">
        <v>26</v>
      </c>
      <c r="E287" t="s">
        <v>27</v>
      </c>
    </row>
    <row r="288" spans="1:7">
      <c r="A288">
        <v>2</v>
      </c>
      <c r="B288">
        <v>2</v>
      </c>
      <c r="C288">
        <v>2</v>
      </c>
      <c r="D288">
        <v>2</v>
      </c>
      <c r="E288">
        <v>2</v>
      </c>
    </row>
    <row r="290" spans="1:9">
      <c r="A290" t="s">
        <v>414</v>
      </c>
    </row>
    <row r="291" spans="1:9">
      <c r="A291" t="s">
        <v>2</v>
      </c>
      <c r="B291" t="s">
        <v>158</v>
      </c>
      <c r="C291" t="s">
        <v>159</v>
      </c>
    </row>
    <row r="292" spans="1:9">
      <c r="A292">
        <v>3</v>
      </c>
      <c r="B292" t="s">
        <v>242</v>
      </c>
      <c r="C292" t="s">
        <v>243</v>
      </c>
    </row>
    <row r="294" spans="1:9">
      <c r="A294" t="s">
        <v>415</v>
      </c>
    </row>
    <row r="295" spans="1:9">
      <c r="A295" t="s">
        <v>2</v>
      </c>
      <c r="B295" t="s">
        <v>377</v>
      </c>
      <c r="C295" t="s">
        <v>85</v>
      </c>
      <c r="D295" t="s">
        <v>86</v>
      </c>
      <c r="E295" t="s">
        <v>87</v>
      </c>
      <c r="F295" t="s">
        <v>88</v>
      </c>
      <c r="G295" t="s">
        <v>89</v>
      </c>
      <c r="H295" t="s">
        <v>90</v>
      </c>
      <c r="I295" t="s">
        <v>91</v>
      </c>
    </row>
    <row r="296" spans="1:9">
      <c r="A296">
        <v>250</v>
      </c>
      <c r="B296" t="s">
        <v>65</v>
      </c>
      <c r="C296" t="s">
        <v>62</v>
      </c>
      <c r="D296" t="s">
        <v>66</v>
      </c>
      <c r="E296" t="s">
        <v>416</v>
      </c>
      <c r="F296" t="s">
        <v>93</v>
      </c>
      <c r="G296" t="s">
        <v>62</v>
      </c>
      <c r="H296" t="s">
        <v>103</v>
      </c>
      <c r="I296" t="s">
        <v>417</v>
      </c>
    </row>
    <row r="298" spans="1:9">
      <c r="A298" t="s">
        <v>418</v>
      </c>
    </row>
    <row r="299" spans="1:9">
      <c r="A299" t="s">
        <v>2</v>
      </c>
      <c r="B299" t="s">
        <v>419</v>
      </c>
      <c r="C299" t="s">
        <v>420</v>
      </c>
      <c r="D299" t="s">
        <v>421</v>
      </c>
      <c r="E299" t="s">
        <v>422</v>
      </c>
    </row>
    <row r="300" spans="1:9">
      <c r="A300">
        <v>250</v>
      </c>
      <c r="B300" t="s">
        <v>423</v>
      </c>
      <c r="C300" t="s">
        <v>65</v>
      </c>
      <c r="D300" t="s">
        <v>65</v>
      </c>
      <c r="E300" t="s">
        <v>65</v>
      </c>
    </row>
    <row r="302" spans="1:9">
      <c r="A302" t="s">
        <v>424</v>
      </c>
    </row>
    <row r="303" spans="1:9">
      <c r="A303" t="s">
        <v>2</v>
      </c>
      <c r="B303" t="s">
        <v>425</v>
      </c>
      <c r="C303" t="s">
        <v>426</v>
      </c>
      <c r="D303" t="s">
        <v>427</v>
      </c>
    </row>
    <row r="304" spans="1:9">
      <c r="A304">
        <v>250</v>
      </c>
      <c r="B304" t="s">
        <v>92</v>
      </c>
      <c r="C304" t="s">
        <v>153</v>
      </c>
      <c r="D304" t="s">
        <v>428</v>
      </c>
    </row>
    <row r="306" spans="1:5">
      <c r="A306" t="s">
        <v>429</v>
      </c>
    </row>
    <row r="307" spans="1:5">
      <c r="A307" t="s">
        <v>2</v>
      </c>
      <c r="B307" t="s">
        <v>425</v>
      </c>
      <c r="C307" t="s">
        <v>426</v>
      </c>
      <c r="D307" t="s">
        <v>427</v>
      </c>
    </row>
    <row r="308" spans="1:5">
      <c r="A308">
        <v>250</v>
      </c>
      <c r="B308" t="s">
        <v>430</v>
      </c>
      <c r="C308" t="s">
        <v>407</v>
      </c>
      <c r="D308" t="s">
        <v>431</v>
      </c>
    </row>
    <row r="310" spans="1:5">
      <c r="A310" t="s">
        <v>432</v>
      </c>
    </row>
    <row r="311" spans="1:5">
      <c r="A311" t="s">
        <v>2</v>
      </c>
      <c r="B311" t="s">
        <v>425</v>
      </c>
      <c r="C311" t="s">
        <v>426</v>
      </c>
      <c r="D311" t="s">
        <v>427</v>
      </c>
      <c r="E311" t="s">
        <v>433</v>
      </c>
    </row>
    <row r="312" spans="1:5">
      <c r="A312">
        <v>250</v>
      </c>
      <c r="B312" t="s">
        <v>34</v>
      </c>
      <c r="C312" t="s">
        <v>434</v>
      </c>
      <c r="D312" t="s">
        <v>435</v>
      </c>
      <c r="E312" t="s">
        <v>65</v>
      </c>
    </row>
    <row r="314" spans="1:5">
      <c r="A314" t="s">
        <v>436</v>
      </c>
    </row>
    <row r="315" spans="1:5">
      <c r="A315" t="s">
        <v>2</v>
      </c>
      <c r="B315" t="s">
        <v>425</v>
      </c>
      <c r="C315" t="s">
        <v>426</v>
      </c>
      <c r="D315" t="s">
        <v>427</v>
      </c>
    </row>
    <row r="316" spans="1:5">
      <c r="A316">
        <v>250</v>
      </c>
      <c r="B316" t="s">
        <v>437</v>
      </c>
      <c r="C316" t="s">
        <v>48</v>
      </c>
      <c r="D316" t="s">
        <v>438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F33" sqref="F33"/>
    </sheetView>
  </sheetViews>
  <sheetFormatPr defaultColWidth="11.42578125" defaultRowHeight="15"/>
  <cols>
    <col min="3" max="3" width="32.85546875" bestFit="1" customWidth="1"/>
    <col min="4" max="5" width="30.7109375" bestFit="1" customWidth="1"/>
  </cols>
  <sheetData>
    <row r="1" spans="1:7">
      <c r="A1" t="s">
        <v>439</v>
      </c>
    </row>
    <row r="2" spans="1:7">
      <c r="A2" t="s">
        <v>440</v>
      </c>
      <c r="B2" t="s">
        <v>441</v>
      </c>
      <c r="C2" t="s">
        <v>442</v>
      </c>
      <c r="D2" t="s">
        <v>443</v>
      </c>
    </row>
    <row r="3" spans="1:7">
      <c r="A3" t="s">
        <v>444</v>
      </c>
      <c r="B3" t="s">
        <v>445</v>
      </c>
      <c r="C3" t="s">
        <v>446</v>
      </c>
      <c r="D3" t="s">
        <v>447</v>
      </c>
    </row>
    <row r="4" spans="1:7">
      <c r="A4" t="s">
        <v>448</v>
      </c>
      <c r="B4" t="s">
        <v>449</v>
      </c>
      <c r="C4" t="s">
        <v>450</v>
      </c>
      <c r="D4" t="s">
        <v>451</v>
      </c>
    </row>
    <row r="5" spans="1:7">
      <c r="A5" t="s">
        <v>452</v>
      </c>
      <c r="B5" t="s">
        <v>453</v>
      </c>
      <c r="C5" t="s">
        <v>454</v>
      </c>
      <c r="D5" t="s">
        <v>455</v>
      </c>
    </row>
    <row r="7" spans="1:7">
      <c r="A7" t="s">
        <v>456</v>
      </c>
    </row>
    <row r="8" spans="1:7">
      <c r="A8" t="s">
        <v>170</v>
      </c>
      <c r="B8" t="s">
        <v>457</v>
      </c>
      <c r="C8" t="s">
        <v>458</v>
      </c>
      <c r="D8" t="s">
        <v>459</v>
      </c>
      <c r="E8" t="s">
        <v>460</v>
      </c>
      <c r="F8" t="s">
        <v>461</v>
      </c>
      <c r="G8" t="s">
        <v>462</v>
      </c>
    </row>
    <row r="9" spans="1:7">
      <c r="A9" t="s">
        <v>463</v>
      </c>
      <c r="B9">
        <v>118</v>
      </c>
      <c r="C9" t="s">
        <v>464</v>
      </c>
      <c r="D9" t="s">
        <v>465</v>
      </c>
      <c r="E9" t="s">
        <v>466</v>
      </c>
      <c r="F9" t="s">
        <v>467</v>
      </c>
      <c r="G9" t="s">
        <v>468</v>
      </c>
    </row>
    <row r="10" spans="1:7">
      <c r="A10" t="s">
        <v>469</v>
      </c>
      <c r="B10">
        <v>84</v>
      </c>
      <c r="C10" t="s">
        <v>470</v>
      </c>
      <c r="D10" t="s">
        <v>471</v>
      </c>
      <c r="E10" t="s">
        <v>472</v>
      </c>
      <c r="F10" t="s">
        <v>473</v>
      </c>
      <c r="G10" t="s">
        <v>468</v>
      </c>
    </row>
    <row r="11" spans="1:7">
      <c r="A11" t="s">
        <v>474</v>
      </c>
      <c r="B11">
        <v>92</v>
      </c>
      <c r="C11" t="s">
        <v>475</v>
      </c>
      <c r="D11" t="s">
        <v>476</v>
      </c>
      <c r="E11" t="s">
        <v>476</v>
      </c>
      <c r="F11" t="s">
        <v>477</v>
      </c>
      <c r="G11" t="s">
        <v>468</v>
      </c>
    </row>
    <row r="12" spans="1:7">
      <c r="A12" t="s">
        <v>478</v>
      </c>
      <c r="B12">
        <v>82</v>
      </c>
      <c r="C12" t="s">
        <v>479</v>
      </c>
      <c r="D12" t="s">
        <v>479</v>
      </c>
      <c r="E12" t="s">
        <v>480</v>
      </c>
      <c r="F12" t="s">
        <v>481</v>
      </c>
      <c r="G12" t="s">
        <v>468</v>
      </c>
    </row>
    <row r="13" spans="1:7">
      <c r="A13" t="s">
        <v>482</v>
      </c>
      <c r="B13">
        <v>33</v>
      </c>
      <c r="C13" t="s">
        <v>483</v>
      </c>
      <c r="D13" t="s">
        <v>484</v>
      </c>
      <c r="E13" t="s">
        <v>484</v>
      </c>
      <c r="F13" t="s">
        <v>485</v>
      </c>
      <c r="G13" t="s">
        <v>468</v>
      </c>
    </row>
    <row r="15" spans="1:7">
      <c r="A15" t="s">
        <v>486</v>
      </c>
    </row>
    <row r="16" spans="1:7">
      <c r="A16" t="s">
        <v>440</v>
      </c>
      <c r="B16" t="s">
        <v>441</v>
      </c>
      <c r="C16" t="s">
        <v>442</v>
      </c>
      <c r="D16" t="s">
        <v>443</v>
      </c>
    </row>
    <row r="17" spans="1:4">
      <c r="A17" t="s">
        <v>487</v>
      </c>
      <c r="B17" t="s">
        <v>480</v>
      </c>
      <c r="C17" t="s">
        <v>480</v>
      </c>
      <c r="D17" t="s">
        <v>480</v>
      </c>
    </row>
    <row r="18" spans="1:4">
      <c r="A18" t="s">
        <v>488</v>
      </c>
      <c r="B18" t="s">
        <v>480</v>
      </c>
      <c r="C18" t="s">
        <v>480</v>
      </c>
      <c r="D18" t="s">
        <v>480</v>
      </c>
    </row>
    <row r="19" spans="1:4">
      <c r="A19" t="s">
        <v>489</v>
      </c>
      <c r="B19" t="s">
        <v>480</v>
      </c>
      <c r="C19" t="s">
        <v>480</v>
      </c>
      <c r="D19" t="s">
        <v>480</v>
      </c>
    </row>
    <row r="21" spans="1:4">
      <c r="A21" t="s">
        <v>490</v>
      </c>
    </row>
    <row r="22" spans="1:4">
      <c r="A22" t="s">
        <v>491</v>
      </c>
      <c r="B22" t="s">
        <v>492</v>
      </c>
      <c r="C22" t="s">
        <v>493</v>
      </c>
      <c r="D22" t="s">
        <v>494</v>
      </c>
    </row>
    <row r="23" spans="1:4">
      <c r="A23" t="s">
        <v>495</v>
      </c>
      <c r="B23">
        <v>14.097340720221601</v>
      </c>
      <c r="C23">
        <v>13.95</v>
      </c>
      <c r="D23">
        <v>14.24</v>
      </c>
    </row>
    <row r="24" spans="1:4">
      <c r="A24" t="s">
        <v>496</v>
      </c>
      <c r="B24">
        <v>0</v>
      </c>
      <c r="C24">
        <v>0</v>
      </c>
      <c r="D2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4"/>
  <sheetViews>
    <sheetView tabSelected="1" showWhiteSpace="0" zoomScale="70" zoomScaleNormal="70" zoomScalePageLayoutView="73" workbookViewId="0">
      <selection activeCell="E14" sqref="E14"/>
    </sheetView>
  </sheetViews>
  <sheetFormatPr defaultColWidth="11.42578125" defaultRowHeight="15"/>
  <cols>
    <col min="1" max="1" width="15.140625" customWidth="1"/>
    <col min="2" max="2" width="13.7109375" customWidth="1"/>
    <col min="3" max="3" width="10.5703125" customWidth="1"/>
    <col min="4" max="4" width="10" customWidth="1"/>
    <col min="5" max="5" width="12" customWidth="1"/>
    <col min="6" max="6" width="9.85546875" customWidth="1"/>
    <col min="7" max="7" width="10.42578125" customWidth="1"/>
    <col min="8" max="8" width="11.140625" customWidth="1"/>
    <col min="9" max="9" width="13.42578125" customWidth="1"/>
    <col min="10" max="10" width="28.140625" customWidth="1"/>
    <col min="11" max="15" width="0" hidden="1" customWidth="1"/>
  </cols>
  <sheetData>
    <row r="1" spans="1:15" ht="50.25" customHeight="1">
      <c r="A1" s="54"/>
      <c r="B1" s="54"/>
      <c r="C1" s="54"/>
      <c r="D1" s="54"/>
      <c r="E1" s="54"/>
      <c r="F1" s="54"/>
      <c r="G1" s="54"/>
      <c r="H1" s="54"/>
      <c r="I1" s="54"/>
    </row>
    <row r="2" spans="1:15" ht="18" customHeight="1">
      <c r="A2" s="58" t="s">
        <v>497</v>
      </c>
      <c r="B2" s="58"/>
      <c r="C2" s="58"/>
      <c r="D2" s="58"/>
      <c r="E2" s="58"/>
      <c r="F2" s="58"/>
      <c r="G2" s="58"/>
      <c r="H2" s="58"/>
      <c r="I2" s="58"/>
      <c r="J2" s="34"/>
    </row>
    <row r="3" spans="1:15" ht="15.75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5" ht="30.75" customHeight="1">
      <c r="A4" s="45"/>
      <c r="B4" s="49"/>
      <c r="C4" s="59" t="s">
        <v>498</v>
      </c>
      <c r="D4" s="60"/>
      <c r="E4" s="61" t="s">
        <v>499</v>
      </c>
      <c r="F4" s="62"/>
      <c r="G4" s="59" t="s">
        <v>457</v>
      </c>
      <c r="H4" s="62"/>
      <c r="I4" s="50" t="s">
        <v>500</v>
      </c>
      <c r="J4" s="51" t="s">
        <v>501</v>
      </c>
    </row>
    <row r="5" spans="1:15" ht="15.75" customHeight="1">
      <c r="A5" s="52"/>
      <c r="B5" s="2"/>
      <c r="C5" s="3" t="s">
        <v>502</v>
      </c>
      <c r="D5" s="4" t="s">
        <v>503</v>
      </c>
      <c r="E5" s="5" t="s">
        <v>502</v>
      </c>
      <c r="F5" s="6" t="s">
        <v>503</v>
      </c>
      <c r="G5" s="3" t="s">
        <v>502</v>
      </c>
      <c r="H5" s="6" t="s">
        <v>503</v>
      </c>
      <c r="I5" s="7" t="s">
        <v>503</v>
      </c>
      <c r="J5" s="23"/>
    </row>
    <row r="6" spans="1:15" ht="15.75" customHeight="1">
      <c r="A6" s="63" t="s">
        <v>504</v>
      </c>
      <c r="B6" s="8" t="s">
        <v>462</v>
      </c>
      <c r="C6" s="9">
        <v>0</v>
      </c>
      <c r="D6" s="10">
        <f>C6/C10</f>
        <v>0</v>
      </c>
      <c r="E6" s="11">
        <v>0</v>
      </c>
      <c r="F6" s="10">
        <f>E6/E10</f>
        <v>0</v>
      </c>
      <c r="G6" s="13">
        <f>C6+E6</f>
        <v>0</v>
      </c>
      <c r="H6" s="10">
        <f>G6/G10</f>
        <v>0</v>
      </c>
      <c r="I6" s="7"/>
      <c r="J6" s="23"/>
    </row>
    <row r="7" spans="1:15">
      <c r="A7" s="64"/>
      <c r="B7" s="8" t="s">
        <v>505</v>
      </c>
      <c r="C7" s="14">
        <v>3</v>
      </c>
      <c r="D7" s="10">
        <f>C7/C10</f>
        <v>4.1095890410958902E-2</v>
      </c>
      <c r="E7" s="15">
        <v>6</v>
      </c>
      <c r="F7" s="10">
        <f>E7/E10</f>
        <v>8.3333333333333329E-2</v>
      </c>
      <c r="G7" s="13">
        <f>C7+E7</f>
        <v>9</v>
      </c>
      <c r="H7" s="16">
        <f>G7/G10</f>
        <v>6.2068965517241378E-2</v>
      </c>
      <c r="I7" s="17"/>
      <c r="J7" s="23"/>
    </row>
    <row r="8" spans="1:15">
      <c r="A8" s="64"/>
      <c r="B8" s="18" t="s">
        <v>506</v>
      </c>
      <c r="C8" s="19">
        <v>5</v>
      </c>
      <c r="D8" s="20">
        <f>C8/C10</f>
        <v>6.8493150684931503E-2</v>
      </c>
      <c r="E8" s="21">
        <v>7</v>
      </c>
      <c r="F8" s="20">
        <f>E8/E10</f>
        <v>9.7222222222222224E-2</v>
      </c>
      <c r="G8" s="22">
        <f t="shared" ref="G8:G20" si="0">C8+E8</f>
        <v>12</v>
      </c>
      <c r="H8" s="24">
        <f>G8/G10</f>
        <v>8.2758620689655171E-2</v>
      </c>
      <c r="I8" s="17"/>
      <c r="J8" s="23"/>
    </row>
    <row r="9" spans="1:15">
      <c r="A9" s="64"/>
      <c r="B9" s="25" t="s">
        <v>507</v>
      </c>
      <c r="C9" s="19">
        <v>65</v>
      </c>
      <c r="D9" s="26">
        <f>C9/C10</f>
        <v>0.8904109589041096</v>
      </c>
      <c r="E9" s="21">
        <v>59</v>
      </c>
      <c r="F9" s="26">
        <f>E9/E10</f>
        <v>0.81944444444444442</v>
      </c>
      <c r="G9" s="27">
        <f t="shared" si="0"/>
        <v>124</v>
      </c>
      <c r="H9" s="28">
        <f>G9/G10</f>
        <v>0.85517241379310349</v>
      </c>
      <c r="I9" s="17"/>
      <c r="J9" s="23"/>
    </row>
    <row r="10" spans="1:15">
      <c r="A10" s="65"/>
      <c r="B10" s="29" t="s">
        <v>457</v>
      </c>
      <c r="C10" s="30">
        <f>SUM(C6:C9)</f>
        <v>73</v>
      </c>
      <c r="D10" s="31">
        <f>SUM(D6:D9)</f>
        <v>1</v>
      </c>
      <c r="E10" s="32">
        <f>SUM(E6:E9)</f>
        <v>72</v>
      </c>
      <c r="F10" s="31">
        <f>SUM(F6:F9)</f>
        <v>1</v>
      </c>
      <c r="G10" s="30">
        <f>C10+E10</f>
        <v>145</v>
      </c>
      <c r="H10" s="33">
        <f>SUM(H6:H9)</f>
        <v>1</v>
      </c>
      <c r="I10" s="17"/>
      <c r="J10" s="23"/>
      <c r="L10" s="1"/>
      <c r="M10" s="1"/>
      <c r="N10" s="1"/>
      <c r="O10" s="12"/>
    </row>
    <row r="11" spans="1:15">
      <c r="A11" s="66" t="s">
        <v>508</v>
      </c>
      <c r="B11" s="8" t="s">
        <v>462</v>
      </c>
      <c r="C11" s="19">
        <v>0</v>
      </c>
      <c r="D11" s="10">
        <f>C11/C15</f>
        <v>0</v>
      </c>
      <c r="E11" s="21">
        <v>0</v>
      </c>
      <c r="F11" s="10">
        <f>E11/E15</f>
        <v>0</v>
      </c>
      <c r="G11" s="13">
        <f>C11+E11</f>
        <v>0</v>
      </c>
      <c r="H11" s="10">
        <f>G11/G15</f>
        <v>0</v>
      </c>
      <c r="I11" s="17"/>
      <c r="J11" s="23"/>
      <c r="L11" s="1"/>
      <c r="M11" s="1"/>
      <c r="N11" s="1"/>
      <c r="O11" s="12"/>
    </row>
    <row r="12" spans="1:15">
      <c r="A12" s="64"/>
      <c r="B12" s="35" t="s">
        <v>505</v>
      </c>
      <c r="C12" s="19">
        <v>1</v>
      </c>
      <c r="D12" s="10">
        <f>C12/C15</f>
        <v>8.771929824561403E-3</v>
      </c>
      <c r="E12" s="21">
        <v>2</v>
      </c>
      <c r="F12" s="10">
        <f>E12/E15</f>
        <v>1.9607843137254902E-2</v>
      </c>
      <c r="G12" s="36">
        <f t="shared" si="0"/>
        <v>3</v>
      </c>
      <c r="H12" s="16">
        <f>G12/G15</f>
        <v>1.3888888888888888E-2</v>
      </c>
      <c r="I12" s="17"/>
      <c r="J12" s="23"/>
      <c r="L12" s="1"/>
      <c r="M12" s="1"/>
      <c r="N12" s="1"/>
      <c r="O12" s="12"/>
    </row>
    <row r="13" spans="1:15">
      <c r="A13" s="64"/>
      <c r="B13" s="18" t="s">
        <v>506</v>
      </c>
      <c r="C13" s="19">
        <v>2</v>
      </c>
      <c r="D13" s="20">
        <f>C13/C15</f>
        <v>1.7543859649122806E-2</v>
      </c>
      <c r="E13" s="21">
        <v>5</v>
      </c>
      <c r="F13" s="20">
        <f>E13/E15</f>
        <v>4.9019607843137254E-2</v>
      </c>
      <c r="G13" s="22">
        <f t="shared" si="0"/>
        <v>7</v>
      </c>
      <c r="H13" s="24">
        <f>G13/G15</f>
        <v>3.2407407407407406E-2</v>
      </c>
      <c r="I13" s="17"/>
      <c r="J13" s="23"/>
      <c r="L13" s="12"/>
      <c r="M13" s="12"/>
      <c r="N13" s="12"/>
      <c r="O13" s="12"/>
    </row>
    <row r="14" spans="1:15">
      <c r="A14" s="64"/>
      <c r="B14" s="25" t="s">
        <v>507</v>
      </c>
      <c r="C14" s="19">
        <v>111</v>
      </c>
      <c r="D14" s="26">
        <f>C14/C15</f>
        <v>0.97368421052631582</v>
      </c>
      <c r="E14" s="21">
        <v>95</v>
      </c>
      <c r="F14" s="26">
        <f>E14/E15</f>
        <v>0.93137254901960786</v>
      </c>
      <c r="G14" s="27">
        <f t="shared" si="0"/>
        <v>206</v>
      </c>
      <c r="H14" s="28">
        <f>G14/G15</f>
        <v>0.95370370370370372</v>
      </c>
      <c r="I14" s="17"/>
      <c r="J14" s="23"/>
    </row>
    <row r="15" spans="1:15">
      <c r="A15" s="65"/>
      <c r="B15" s="29" t="s">
        <v>457</v>
      </c>
      <c r="C15" s="30">
        <f>SUM(C11:C14)</f>
        <v>114</v>
      </c>
      <c r="D15" s="31">
        <f>SUM(D11:D14)</f>
        <v>1</v>
      </c>
      <c r="E15" s="32">
        <f>SUM(E11:E14)</f>
        <v>102</v>
      </c>
      <c r="F15" s="31">
        <f>SUM(F11:F14)</f>
        <v>1</v>
      </c>
      <c r="G15" s="30">
        <f>C15+E15</f>
        <v>216</v>
      </c>
      <c r="H15" s="33">
        <f>SUM(H11:H14)</f>
        <v>1</v>
      </c>
      <c r="I15" s="17"/>
      <c r="J15" s="37">
        <f>G15/G20</f>
        <v>0.5983379501385041</v>
      </c>
    </row>
    <row r="16" spans="1:15">
      <c r="A16" s="66" t="s">
        <v>457</v>
      </c>
      <c r="B16" s="8" t="s">
        <v>462</v>
      </c>
      <c r="C16" s="36">
        <f>C6+C11</f>
        <v>0</v>
      </c>
      <c r="D16" s="10">
        <f>C16/C20</f>
        <v>0</v>
      </c>
      <c r="E16" s="36">
        <f>E6+E11</f>
        <v>0</v>
      </c>
      <c r="F16" s="10">
        <f>E16/E20</f>
        <v>0</v>
      </c>
      <c r="G16" s="36">
        <f>C16+E16</f>
        <v>0</v>
      </c>
      <c r="H16" s="10">
        <f>G16/G20</f>
        <v>0</v>
      </c>
      <c r="I16" s="38">
        <f>((H6)+(2*H11))/3</f>
        <v>0</v>
      </c>
      <c r="J16" s="23"/>
    </row>
    <row r="17" spans="1:10">
      <c r="A17" s="64"/>
      <c r="B17" s="35" t="s">
        <v>505</v>
      </c>
      <c r="C17" s="36">
        <f>C7+C12</f>
        <v>4</v>
      </c>
      <c r="D17" s="10">
        <f>C17/C20</f>
        <v>2.1390374331550801E-2</v>
      </c>
      <c r="E17" s="36">
        <f>E7+E12</f>
        <v>8</v>
      </c>
      <c r="F17" s="10">
        <f>E17/E20</f>
        <v>4.5977011494252873E-2</v>
      </c>
      <c r="G17" s="36">
        <f>C17+E17</f>
        <v>12</v>
      </c>
      <c r="H17" s="16">
        <f>G17/G20</f>
        <v>3.3240997229916899E-2</v>
      </c>
      <c r="I17" s="38">
        <f>((H7)+(2*H12))/3</f>
        <v>2.9948914431673052E-2</v>
      </c>
      <c r="J17" s="23"/>
    </row>
    <row r="18" spans="1:10">
      <c r="A18" s="64"/>
      <c r="B18" s="18" t="s">
        <v>506</v>
      </c>
      <c r="C18" s="22">
        <f>C8+C13</f>
        <v>7</v>
      </c>
      <c r="D18" s="20">
        <f>C18/C20</f>
        <v>3.7433155080213901E-2</v>
      </c>
      <c r="E18" s="22">
        <f>E8+E13</f>
        <v>12</v>
      </c>
      <c r="F18" s="20">
        <f>E18/E20</f>
        <v>6.8965517241379309E-2</v>
      </c>
      <c r="G18" s="22">
        <f t="shared" si="0"/>
        <v>19</v>
      </c>
      <c r="H18" s="24">
        <f>G18/G20</f>
        <v>5.2631578947368418E-2</v>
      </c>
      <c r="I18" s="39">
        <f>((H8)+(2*H13))/3</f>
        <v>4.9191145168156668E-2</v>
      </c>
      <c r="J18" s="23"/>
    </row>
    <row r="19" spans="1:10">
      <c r="A19" s="64"/>
      <c r="B19" s="25" t="s">
        <v>507</v>
      </c>
      <c r="C19" s="27">
        <f>C9+C14</f>
        <v>176</v>
      </c>
      <c r="D19" s="26">
        <f>C19/C20</f>
        <v>0.94117647058823528</v>
      </c>
      <c r="E19" s="27">
        <f>E9+E14</f>
        <v>154</v>
      </c>
      <c r="F19" s="26">
        <f>E19/E20</f>
        <v>0.88505747126436785</v>
      </c>
      <c r="G19" s="27">
        <f t="shared" si="0"/>
        <v>330</v>
      </c>
      <c r="H19" s="28">
        <f>G19/G20</f>
        <v>0.91412742382271472</v>
      </c>
      <c r="I19" s="40">
        <f>((H9)+(2*H14))/3</f>
        <v>0.92085994040017027</v>
      </c>
      <c r="J19" s="23"/>
    </row>
    <row r="20" spans="1:10" ht="15.75" customHeight="1">
      <c r="A20" s="67"/>
      <c r="B20" s="41" t="s">
        <v>457</v>
      </c>
      <c r="C20" s="42">
        <f>C10+C15</f>
        <v>187</v>
      </c>
      <c r="D20" s="43">
        <f>SUM(D16:D19)</f>
        <v>1</v>
      </c>
      <c r="E20" s="42">
        <f>E10+E15</f>
        <v>174</v>
      </c>
      <c r="F20" s="43">
        <f>SUM(F16:F19)</f>
        <v>1</v>
      </c>
      <c r="G20" s="42">
        <f t="shared" si="0"/>
        <v>361</v>
      </c>
      <c r="H20" s="44">
        <f>SUM(H16:H19)</f>
        <v>1</v>
      </c>
      <c r="I20" s="46">
        <f>((H10)+(2*H15))/3</f>
        <v>1</v>
      </c>
      <c r="J20" s="23"/>
    </row>
    <row r="21" spans="1:10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 ht="31.5" customHeight="1">
      <c r="A22" s="55" t="s">
        <v>509</v>
      </c>
      <c r="B22" s="56"/>
      <c r="C22" s="56"/>
      <c r="D22" s="56"/>
      <c r="E22" s="56"/>
      <c r="F22" s="56"/>
      <c r="G22" s="56"/>
      <c r="H22" s="56"/>
      <c r="I22" s="57"/>
      <c r="J22" s="23"/>
    </row>
    <row r="23" spans="1:10" ht="10.5" customHeight="1">
      <c r="A23" s="47"/>
      <c r="B23" s="48"/>
      <c r="C23" s="48"/>
      <c r="D23" s="48"/>
      <c r="E23" s="48"/>
      <c r="F23" s="48"/>
      <c r="G23" s="48"/>
      <c r="H23" s="48"/>
      <c r="I23" s="48"/>
      <c r="J23" s="23"/>
    </row>
    <row r="24" spans="1:10" ht="54" customHeight="1">
      <c r="A24" s="55" t="s">
        <v>510</v>
      </c>
      <c r="B24" s="56"/>
      <c r="C24" s="56"/>
      <c r="D24" s="56"/>
      <c r="E24" s="56"/>
      <c r="F24" s="56"/>
      <c r="G24" s="56"/>
      <c r="H24" s="56"/>
      <c r="I24" s="57"/>
      <c r="J24" s="23"/>
    </row>
  </sheetData>
  <mergeCells count="10">
    <mergeCell ref="A1:I1"/>
    <mergeCell ref="A24:I24"/>
    <mergeCell ref="A2:I2"/>
    <mergeCell ref="C4:D4"/>
    <mergeCell ref="E4:F4"/>
    <mergeCell ref="G4:H4"/>
    <mergeCell ref="A22:I22"/>
    <mergeCell ref="A6:A10"/>
    <mergeCell ref="A11:A15"/>
    <mergeCell ref="A16:A20"/>
  </mergeCells>
  <pageMargins left="0.7" right="0.7" top="0.75" bottom="0.75" header="0.3" footer="0.3"/>
  <pageSetup scale="91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ualit_x00e9_s xmlns="f7182475-0223-4c18-9d1e-85c2871bd879" xsi:nil="true"/>
    <lcf76f155ced4ddcb4097134ff3c332f xmlns="f7182475-0223-4c18-9d1e-85c2871bd879">
      <Terms xmlns="http://schemas.microsoft.com/office/infopath/2007/PartnerControls"/>
    </lcf76f155ced4ddcb4097134ff3c332f>
    <TaxCatchAll xmlns="7cf032eb-13ef-43f9-8b6c-22c602005c07" xsi:nil="true"/>
    <Cr_x00e9_er xmlns="f7182475-0223-4c18-9d1e-85c2871bd879">2024-12-23T17:58:20+00:00</Cr_x00e9_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3F165F32CC94696FCA374590156D5" ma:contentTypeVersion="20" ma:contentTypeDescription="Crée un document." ma:contentTypeScope="" ma:versionID="e45bf4adb692f9454b28ddf0aac8f823">
  <xsd:schema xmlns:xsd="http://www.w3.org/2001/XMLSchema" xmlns:xs="http://www.w3.org/2001/XMLSchema" xmlns:p="http://schemas.microsoft.com/office/2006/metadata/properties" xmlns:ns2="f7182475-0223-4c18-9d1e-85c2871bd879" xmlns:ns3="7cf032eb-13ef-43f9-8b6c-22c602005c07" targetNamespace="http://schemas.microsoft.com/office/2006/metadata/properties" ma:root="true" ma:fieldsID="890f1a97aac9cbbd8da44416411a62a0" ns2:_="" ns3:_="">
    <xsd:import namespace="f7182475-0223-4c18-9d1e-85c2871bd879"/>
    <xsd:import namespace="7cf032eb-13ef-43f9-8b6c-22c602005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Cr_x00e9_er" minOccurs="0"/>
                <xsd:element ref="ns2:Actualit_x00e9_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82475-0223-4c18-9d1e-85c2871b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_x00e9_er" ma:index="22" nillable="true" ma:displayName="Créer" ma:default="[today]" ma:description="Date de création du fichier" ma:format="DateTime" ma:internalName="Cr_x00e9_er">
      <xsd:simpleType>
        <xsd:restriction base="dms:DateTime"/>
      </xsd:simpleType>
    </xsd:element>
    <xsd:element name="Actualit_x00e9_s" ma:index="23" nillable="true" ma:displayName="Actualités" ma:format="Dropdown" ma:internalName="Actualit_x00e9_s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032eb-13ef-43f9-8b6c-22c60200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96c2d35-39e6-44de-9dee-c83d3295b68f}" ma:internalName="TaxCatchAll" ma:showField="CatchAllData" ma:web="7cf032eb-13ef-43f9-8b6c-22c60200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E8F249-D14A-498B-80A6-D81FDB00106B}"/>
</file>

<file path=customXml/itemProps2.xml><?xml version="1.0" encoding="utf-8"?>
<ds:datastoreItem xmlns:ds="http://schemas.openxmlformats.org/officeDocument/2006/customXml" ds:itemID="{E3946267-D87C-4C17-9C33-816F400DE532}"/>
</file>

<file path=customXml/itemProps3.xml><?xml version="1.0" encoding="utf-8"?>
<ds:datastoreItem xmlns:ds="http://schemas.openxmlformats.org/officeDocument/2006/customXml" ds:itemID="{0411F89E-3D63-4D9F-AEEA-E7F181C0C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CDC User</dc:creator>
  <cp:keywords/>
  <dc:description/>
  <cp:lastModifiedBy>Noortje GERRITSMA</cp:lastModifiedBy>
  <cp:revision/>
  <dcterms:created xsi:type="dcterms:W3CDTF">2014-05-22T21:28:30Z</dcterms:created>
  <dcterms:modified xsi:type="dcterms:W3CDTF">2025-01-10T11:12:21Z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0x0101006173F165F32CC94696FCA374590156D5</vt:lpwstr>
  </property>
</Properties>
</file>