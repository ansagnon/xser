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20" yWindow="-120" windowWidth="29040" windowHeight="15840" firstSheet="0" activeTab="3"/>
  </bookViews>
  <sheets>
    <sheet name="Table_of_content" sheetId="3" state="visible" r:id="rId2"/>
    <sheet name="Data" sheetId="4" state="visible" r:id="rId3"/>
    <sheet name="MUAC_MFAZ" sheetId="5" state="visible" r:id="rId4"/>
    <sheet name="Results" sheetId="2" state="visible" r:id="rId1"/>
  </sheets>
  <calcPr calcId="191029"/>
</workbook>
</file>

<file path=xl/sharedStrings.xml><?xml version="1.0" encoding="utf-8"?>
<sst xmlns="http://schemas.openxmlformats.org/spreadsheetml/2006/main" count="612" uniqueCount="612">
  <si>
    <t>Nutrition Assessment Results</t>
  </si>
  <si>
    <t>&lt;115 mm</t>
  </si>
  <si>
    <t>Total</t>
  </si>
  <si>
    <t>≥125 mm</t>
  </si>
  <si>
    <t>115-124 mm</t>
  </si>
  <si>
    <t>Males</t>
  </si>
  <si>
    <t>N</t>
  </si>
  <si>
    <t>%</t>
  </si>
  <si>
    <t>Females</t>
  </si>
  <si>
    <t>&lt; 2 Years Old</t>
  </si>
  <si>
    <t>Weighted Total**</t>
  </si>
  <si>
    <t>Oedema</t>
  </si>
  <si>
    <t>** MUAC shows a known bias towards younger children. In a balanced sample we expect approximately two thirds (~66%) of the sample to be over 2 years old. If too few older children are included in the sample use the weighted total. Percentage of children over 2 is shown in the last column.</t>
  </si>
  <si>
    <t>Percent of children over 2 years of age in the sample</t>
  </si>
  <si>
    <t xml:space="preserve">Instructions: Fill in the cells that have a white background (C5-C8, C10-13, E5-8, E10-13). The rest of the cells will be filled in automatically. </t>
  </si>
  <si>
    <t>≥ 2 Years Old</t>
  </si>
  <si>
    <t xml:space="preserve">Table of Content</t>
  </si>
  <si>
    <t xml:space="preserve">admin1_overall</t>
  </si>
  <si>
    <t xml:space="preserve">num_samples</t>
  </si>
  <si>
    <t xml:space="preserve">est</t>
  </si>
  <si>
    <t xml:space="preserve">100.0%</t>
  </si>
  <si>
    <t xml:space="preserve">admin2_overall</t>
  </si>
  <si>
    <t xml:space="preserve">tapoa</t>
  </si>
  <si>
    <t xml:space="preserve">admin3_overall</t>
  </si>
  <si>
    <t xml:space="preserve">piela</t>
  </si>
  <si>
    <t xml:space="preserve">admin4_overall</t>
  </si>
  <si>
    <t xml:space="preserve">age_group_overall</t>
  </si>
  <si>
    <t xml:space="preserve">00-02</t>
  </si>
  <si>
    <t xml:space="preserve">03-05</t>
  </si>
  <si>
    <t xml:space="preserve">06-10</t>
  </si>
  <si>
    <t xml:space="preserve">11-18</t>
  </si>
  <si>
    <t xml:space="preserve">19-59</t>
  </si>
  <si>
    <t xml:space="preserve">59+</t>
  </si>
  <si>
    <t xml:space="preserve">16.5%</t>
  </si>
  <si>
    <t xml:space="preserve">13.1%</t>
  </si>
  <si>
    <t xml:space="preserve">17.0%</t>
  </si>
  <si>
    <t xml:space="preserve">16.4%</t>
  </si>
  <si>
    <t xml:space="preserve">34.5%</t>
  </si>
  <si>
    <t xml:space="preserve">2.5%</t>
  </si>
  <si>
    <t xml:space="preserve">calc_final_age_years_overall</t>
  </si>
  <si>
    <t xml:space="preserve">mean</t>
  </si>
  <si>
    <t xml:space="preserve">median</t>
  </si>
  <si>
    <t xml:space="preserve">min</t>
  </si>
  <si>
    <t xml:space="preserve">max</t>
  </si>
  <si>
    <t xml:space="preserve">chgt_cmprtement_enft_overall</t>
  </si>
  <si>
    <t xml:space="preserve">Aucun changement de comportement rémarqué</t>
  </si>
  <si>
    <t xml:space="preserve">Cauchemars</t>
  </si>
  <si>
    <t xml:space="preserve">Isolement/dissimulation des autres enfants ou personnes</t>
  </si>
  <si>
    <t xml:space="preserve">Moins actif</t>
  </si>
  <si>
    <t xml:space="preserve">Perte d'appétit</t>
  </si>
  <si>
    <t xml:space="preserve">Pipi au lit après avoir pu contrôler les sphincters</t>
  </si>
  <si>
    <t xml:space="preserve">Pleurer plus que d'habitude</t>
  </si>
  <si>
    <t xml:space="preserve">Plus peur qu'avant</t>
  </si>
  <si>
    <t xml:space="preserve">Problèmes de sommeil (dormir trop ou moins qu’avant)</t>
  </si>
  <si>
    <t xml:space="preserve">51.2%</t>
  </si>
  <si>
    <t xml:space="preserve">24.4%</t>
  </si>
  <si>
    <t xml:space="preserve">0.4%</t>
  </si>
  <si>
    <t xml:space="preserve">2.0%</t>
  </si>
  <si>
    <t xml:space="preserve">10.8%</t>
  </si>
  <si>
    <t xml:space="preserve">0.8%</t>
  </si>
  <si>
    <t xml:space="preserve">4.4%</t>
  </si>
  <si>
    <t xml:space="preserve">4.0%</t>
  </si>
  <si>
    <t xml:space="preserve">cluster_overall</t>
  </si>
  <si>
    <t xml:space="preserve">Secteur 1</t>
  </si>
  <si>
    <t xml:space="preserve">Secteur 2</t>
  </si>
  <si>
    <t xml:space="preserve">Secteur 3</t>
  </si>
  <si>
    <t xml:space="preserve">Secteur 4</t>
  </si>
  <si>
    <t xml:space="preserve">Secteur 5</t>
  </si>
  <si>
    <t xml:space="preserve">24.0%</t>
  </si>
  <si>
    <t xml:space="preserve">24.8%</t>
  </si>
  <si>
    <t xml:space="preserve">12.4%</t>
  </si>
  <si>
    <t xml:space="preserve">23.6%</t>
  </si>
  <si>
    <t xml:space="preserve">15.2%</t>
  </si>
  <si>
    <t xml:space="preserve">enumerator_overall</t>
  </si>
  <si>
    <t xml:space="preserve">Enumérateur 2</t>
  </si>
  <si>
    <t xml:space="preserve">Enumérateur 3</t>
  </si>
  <si>
    <t xml:space="preserve">Enumérateur 4</t>
  </si>
  <si>
    <t xml:space="preserve">Enumérateur 5</t>
  </si>
  <si>
    <t xml:space="preserve">Enumérateur 6</t>
  </si>
  <si>
    <t xml:space="preserve">Enumérateur 7</t>
  </si>
  <si>
    <t xml:space="preserve">Enumérateur 8</t>
  </si>
  <si>
    <t xml:space="preserve">13.6%</t>
  </si>
  <si>
    <t xml:space="preserve">11.6%</t>
  </si>
  <si>
    <t xml:space="preserve">14.0%</t>
  </si>
  <si>
    <t xml:space="preserve">20.4%</t>
  </si>
  <si>
    <t xml:space="preserve">12.8%</t>
  </si>
  <si>
    <t xml:space="preserve">facteur_principaux_overall</t>
  </si>
  <si>
    <t xml:space="preserve">Aucun facteur</t>
  </si>
  <si>
    <t xml:space="preserve">Fatigue</t>
  </si>
  <si>
    <t xml:space="preserve">Manque de nourriture</t>
  </si>
  <si>
    <t xml:space="preserve">Manque de temps</t>
  </si>
  <si>
    <t xml:space="preserve">Ne sait pas comment s'occuper des enfants (par exemple, jouer, allaiter)</t>
  </si>
  <si>
    <t xml:space="preserve">46.0%</t>
  </si>
  <si>
    <t xml:space="preserve">36.8%</t>
  </si>
  <si>
    <t xml:space="preserve">fsl_first_food_sources_overall</t>
  </si>
  <si>
    <t xml:space="preserve">Achat avec du liquide (argent liquide, pas de coupons)</t>
  </si>
  <si>
    <t xml:space="preserve">Achats à crédit</t>
  </si>
  <si>
    <t xml:space="preserve">Aide alimentaire en nature (assistance de l'Etat, ONG, UN)</t>
  </si>
  <si>
    <t xml:space="preserve">Échange contre du travail ou des articles</t>
  </si>
  <si>
    <t xml:space="preserve">Empruntés</t>
  </si>
  <si>
    <t xml:space="preserve">Mendicité</t>
  </si>
  <si>
    <t xml:space="preserve">Offert par la famille et/ou des amis</t>
  </si>
  <si>
    <t xml:space="preserve">Production propre</t>
  </si>
  <si>
    <t xml:space="preserve">70.0%</t>
  </si>
  <si>
    <t xml:space="preserve">5.6%</t>
  </si>
  <si>
    <t xml:space="preserve">1.2%</t>
  </si>
  <si>
    <t xml:space="preserve">1.6%</t>
  </si>
  <si>
    <t xml:space="preserve">19.6%</t>
  </si>
  <si>
    <t xml:space="preserve">fsl_food_sources_barriers_overall</t>
  </si>
  <si>
    <t xml:space="preserve">Aucune barrière, accédé à l'accès aux sources de nourriture</t>
  </si>
  <si>
    <t xml:space="preserve">Vivez trop loin des sources alimentaires / aucun moyen de transport.</t>
  </si>
  <si>
    <t xml:space="preserve">Transport vers la source de nourriture trop chère.</t>
  </si>
  <si>
    <t xml:space="preserve">Pas assez de nourriture est disponible</t>
  </si>
  <si>
    <t xml:space="preserve">Dommages/dégats à la principale source de nourriture</t>
  </si>
  <si>
    <t xml:space="preserve">Problèmes de sécurité se déplaçant vers et depuis les sources alimentaires.</t>
  </si>
  <si>
    <t xml:space="preserve">Pas autorisé à accéder aux principales sources alimentaires (Raisons culturelles, sociales, etc.)</t>
  </si>
  <si>
    <t xml:space="preserve">Autre - précisez</t>
  </si>
  <si>
    <t xml:space="preserve">Ne sait pas</t>
  </si>
  <si>
    <t xml:space="preserve">Préfère ne pas répondre</t>
  </si>
  <si>
    <t xml:space="preserve">41.2%</t>
  </si>
  <si>
    <t xml:space="preserve">16.8%</t>
  </si>
  <si>
    <t xml:space="preserve">39.6%</t>
  </si>
  <si>
    <t xml:space="preserve">23.2%</t>
  </si>
  <si>
    <t xml:space="preserve">0.0%</t>
  </si>
  <si>
    <t xml:space="preserve">fsl_hh_clean_water_preparation_overall</t>
  </si>
  <si>
    <t xml:space="preserve">Eau du robinet à l'intérieur de la maison</t>
  </si>
  <si>
    <t xml:space="preserve">Eau du robinet dans la concession du voisin</t>
  </si>
  <si>
    <t xml:space="preserve">Forage avec une PMH (pompe à motricité humaine)</t>
  </si>
  <si>
    <t xml:space="preserve">Poste d'eau autonome (PEA) ou adduction d'eau potable simplifiée (AEPS)</t>
  </si>
  <si>
    <t xml:space="preserve">Puits aménagé / protégé</t>
  </si>
  <si>
    <t xml:space="preserve">Puits traditionnel / non protégé</t>
  </si>
  <si>
    <t xml:space="preserve">Robinet public ou borne-fontaine</t>
  </si>
  <si>
    <t xml:space="preserve">38.8%</t>
  </si>
  <si>
    <t xml:space="preserve">6.4%</t>
  </si>
  <si>
    <t xml:space="preserve">4.8%</t>
  </si>
  <si>
    <t xml:space="preserve">48.0%</t>
  </si>
  <si>
    <t xml:space="preserve">fsl_second_food_sources_overall</t>
  </si>
  <si>
    <t xml:space="preserve">19.2%</t>
  </si>
  <si>
    <t xml:space="preserve">17.6%</t>
  </si>
  <si>
    <t xml:space="preserve">12.0%</t>
  </si>
  <si>
    <t xml:space="preserve">2.4%</t>
  </si>
  <si>
    <t xml:space="preserve">fsl_third_food_sources_overall</t>
  </si>
  <si>
    <t xml:space="preserve">14.4%</t>
  </si>
  <si>
    <t xml:space="preserve">27.2%</t>
  </si>
  <si>
    <t xml:space="preserve">8.8%</t>
  </si>
  <si>
    <t xml:space="preserve">2.8%</t>
  </si>
  <si>
    <t xml:space="preserve">gestion_emotion_overall</t>
  </si>
  <si>
    <t xml:space="preserve">Demander de l'aide à quelqu'un. Qui ? _________________</t>
  </si>
  <si>
    <t xml:space="preserve">Parler à quelqu'un. Qui ? ________________</t>
  </si>
  <si>
    <t xml:space="preserve">Prier ou faire des rituels</t>
  </si>
  <si>
    <t xml:space="preserve">Rien ou rester seul(e)</t>
  </si>
  <si>
    <t xml:space="preserve">14.8%</t>
  </si>
  <si>
    <t xml:space="preserve">58.8%</t>
  </si>
  <si>
    <t xml:space="preserve">25.2%</t>
  </si>
  <si>
    <t xml:space="preserve">health_healthcare_barriers_overall</t>
  </si>
  <si>
    <t xml:space="preserve">N'avait pas besoin d'accéder aux services</t>
  </si>
  <si>
    <t xml:space="preserve">Aucun établissement de santé fonctionnelle à proximité</t>
  </si>
  <si>
    <t xml:space="preserve">Service spécifique recherché indisponible</t>
  </si>
  <si>
    <t xml:space="preserve">Je ne pouvais pas se permettre le coût des médicaments (pas l'augmentation des prix)</t>
  </si>
  <si>
    <t xml:space="preserve">Je ne pouvais pas se permettre le coût des médicaments (le prix augmenté)</t>
  </si>
  <si>
    <t xml:space="preserve">Non enregistré auprès d'un médecin local</t>
  </si>
  <si>
    <t xml:space="preserve">Long temps d'attente pour le service</t>
  </si>
  <si>
    <t xml:space="preserve">Je ne pouvais pas se permettre le coût de la consultation / du service</t>
  </si>
  <si>
    <t xml:space="preserve">Je ne pouvais pas se permettre le transport vers l'établissement de santé</t>
  </si>
  <si>
    <t xml:space="preserve">L'établissement de santé est trop éloigné</t>
  </si>
  <si>
    <t xml:space="preserve">Le handicap empêche l'accès à l'établissement de santé</t>
  </si>
  <si>
    <t xml:space="preserve">Aucun moyen de transport</t>
  </si>
  <si>
    <t xml:space="preserve">Pas sûr / insécurité dans l'établissement de santé</t>
  </si>
  <si>
    <t xml:space="preserve">Pas sûr / insécurité lors de ses déplacements dans l'établissement de santé</t>
  </si>
  <si>
    <t xml:space="preserve">Pas de personnel formé de manière appropriée dans l'établissement de santé</t>
  </si>
  <si>
    <t xml:space="preserve">Pas assez de personnel dans l'établissement de santé</t>
  </si>
  <si>
    <t xml:space="preserve">Peur ou méfiance envers les agents de santé, l'examen ou le traitement</t>
  </si>
  <si>
    <t xml:space="preserve">Peur de la stigmatisation ou des préjugés</t>
  </si>
  <si>
    <t xml:space="preserve">Reviendra bientôt chez lui et continuera les soins là-bas</t>
  </si>
  <si>
    <t xml:space="preserve">Ne vous sentez pas à l'aise pour changer le fournisseur de soins</t>
  </si>
  <si>
    <t xml:space="preserve">Je ne pouvais pas prendre de congé de travail / de prendre soin des enfants</t>
  </si>
  <si>
    <t xml:space="preserve">Manque de documents nécessaires</t>
  </si>
  <si>
    <t xml:space="preserve">Manque d'informations sur la façon d'accéder aux soins</t>
  </si>
  <si>
    <t xml:space="preserve">Spécifier une autre raison</t>
  </si>
  <si>
    <t xml:space="preserve">Aucune obstacle expérimenté</t>
  </si>
  <si>
    <t xml:space="preserve">43.6%</t>
  </si>
  <si>
    <t xml:space="preserve">50.4%</t>
  </si>
  <si>
    <t xml:space="preserve">health_healthcare_barriers_overall_D_by_residency_status</t>
  </si>
  <si>
    <t xml:space="preserve">residency_status</t>
  </si>
  <si>
    <t xml:space="preserve">Personne déplacée en interne (PDI)</t>
  </si>
  <si>
    <t xml:space="preserve">health_healthcare_barriers_overall_D_by_unmet_needs</t>
  </si>
  <si>
    <t xml:space="preserve">unmet_needs</t>
  </si>
  <si>
    <t xml:space="preserve">HH with Unmet Needs</t>
  </si>
  <si>
    <t xml:space="preserve">3.0%</t>
  </si>
  <si>
    <t xml:space="preserve">75.8%</t>
  </si>
  <si>
    <t xml:space="preserve">1.5%</t>
  </si>
  <si>
    <t xml:space="preserve">27.3%</t>
  </si>
  <si>
    <t xml:space="preserve">10.6%</t>
  </si>
  <si>
    <t xml:space="preserve">HH without unmet Needs</t>
  </si>
  <si>
    <t xml:space="preserve">20.1%</t>
  </si>
  <si>
    <t xml:space="preserve">5.4%</t>
  </si>
  <si>
    <t xml:space="preserve">32.1%</t>
  </si>
  <si>
    <t xml:space="preserve">41.3%</t>
  </si>
  <si>
    <t xml:space="preserve">9.2%</t>
  </si>
  <si>
    <t xml:space="preserve">3.8%</t>
  </si>
  <si>
    <t xml:space="preserve">0.5%</t>
  </si>
  <si>
    <t xml:space="preserve">1.1%</t>
  </si>
  <si>
    <t xml:space="preserve">health_healthcare_service_one_hour_overall</t>
  </si>
  <si>
    <t xml:space="preserve">Non</t>
  </si>
  <si>
    <t xml:space="preserve">Oui</t>
  </si>
  <si>
    <t xml:space="preserve">26.8%</t>
  </si>
  <si>
    <t xml:space="preserve">73.2%</t>
  </si>
  <si>
    <t xml:space="preserve">health_healthcare_service_one_hour_overall_D_by_residency_status</t>
  </si>
  <si>
    <t xml:space="preserve">health_ind_cholera_vaccination_overall</t>
  </si>
  <si>
    <t xml:space="preserve">Oui de la carte / enregistrement de la vaccination</t>
  </si>
  <si>
    <t xml:space="preserve">Oui du rappel maternel</t>
  </si>
  <si>
    <t xml:space="preserve">3.7%</t>
  </si>
  <si>
    <t xml:space="preserve">76.9%</t>
  </si>
  <si>
    <t xml:space="preserve">2.9%</t>
  </si>
  <si>
    <t xml:space="preserve">health_ind_cholera_vaccination_overall_D_by_age_group</t>
  </si>
  <si>
    <t xml:space="preserve">age_group</t>
  </si>
  <si>
    <t xml:space="preserve">14.1%</t>
  </si>
  <si>
    <t xml:space="preserve">7.1%</t>
  </si>
  <si>
    <t xml:space="preserve">78.8%</t>
  </si>
  <si>
    <t xml:space="preserve">5.3%</t>
  </si>
  <si>
    <t xml:space="preserve">81.9%</t>
  </si>
  <si>
    <t xml:space="preserve">15.1%</t>
  </si>
  <si>
    <t xml:space="preserve">5.9%</t>
  </si>
  <si>
    <t xml:space="preserve">78.9%</t>
  </si>
  <si>
    <t xml:space="preserve">17.8%</t>
  </si>
  <si>
    <t xml:space="preserve">4.1%</t>
  </si>
  <si>
    <t xml:space="preserve">77.7%</t>
  </si>
  <si>
    <t xml:space="preserve">0.3%</t>
  </si>
  <si>
    <t xml:space="preserve">75.7%</t>
  </si>
  <si>
    <t xml:space="preserve">5.2%</t>
  </si>
  <si>
    <t xml:space="preserve">26.7%</t>
  </si>
  <si>
    <t xml:space="preserve">44.4%</t>
  </si>
  <si>
    <t xml:space="preserve">28.9%</t>
  </si>
  <si>
    <t xml:space="preserve">health_ind_cholera_vaccination_overall_D_by_health_ind_sex</t>
  </si>
  <si>
    <t xml:space="preserve">health_ind_sex</t>
  </si>
  <si>
    <t xml:space="preserve">femme</t>
  </si>
  <si>
    <t xml:space="preserve">16.3%</t>
  </si>
  <si>
    <t xml:space="preserve">77.2%</t>
  </si>
  <si>
    <t xml:space="preserve">homme</t>
  </si>
  <si>
    <t xml:space="preserve">16.7%</t>
  </si>
  <si>
    <t xml:space="preserve">3.2%</t>
  </si>
  <si>
    <t xml:space="preserve">76.6%</t>
  </si>
  <si>
    <t xml:space="preserve">3.5%</t>
  </si>
  <si>
    <t xml:space="preserve">health_ind_healthcare_provider_overall</t>
  </si>
  <si>
    <t xml:space="preserve">CHU (Centre hospitalier universitaire)</t>
  </si>
  <si>
    <t xml:space="preserve">CHR (Centre hospitalier régional)</t>
  </si>
  <si>
    <t xml:space="preserve">CMA (Centre médical avec antenne chirurgicale)</t>
  </si>
  <si>
    <t xml:space="preserve">CSPS (Centre de santé et de promotion sociale)</t>
  </si>
  <si>
    <t xml:space="preserve">Centre médical</t>
  </si>
  <si>
    <t xml:space="preserve">Dispensaires isolés</t>
  </si>
  <si>
    <t xml:space="preserve">CREN (Clinique de réhabilitation et éducation nutritionnelle)</t>
  </si>
  <si>
    <t xml:space="preserve">Clinique mobile</t>
  </si>
  <si>
    <t xml:space="preserve">PSA (Poste de santé avancé)</t>
  </si>
  <si>
    <t xml:space="preserve">ASBC (Agent de santé à base communautaire)</t>
  </si>
  <si>
    <t xml:space="preserve">Accoucheuse villageoise (AV)</t>
  </si>
  <si>
    <t xml:space="preserve">Clinique privé</t>
  </si>
  <si>
    <t xml:space="preserve">Médecine traditionnelle</t>
  </si>
  <si>
    <t xml:space="preserve">0.6%</t>
  </si>
  <si>
    <t xml:space="preserve">54.5%</t>
  </si>
  <si>
    <t xml:space="preserve">29.0%</t>
  </si>
  <si>
    <t xml:space="preserve">2.3%</t>
  </si>
  <si>
    <t xml:space="preserve">health_ind_illness_overall</t>
  </si>
  <si>
    <t xml:space="preserve">84.7%</t>
  </si>
  <si>
    <t xml:space="preserve">15.3%</t>
  </si>
  <si>
    <t xml:space="preserve">health_ind_illness_overall_D_by_age_group</t>
  </si>
  <si>
    <t xml:space="preserve">67.1%</t>
  </si>
  <si>
    <t xml:space="preserve">32.9%</t>
  </si>
  <si>
    <t xml:space="preserve">81.5%</t>
  </si>
  <si>
    <t xml:space="preserve">18.5%</t>
  </si>
  <si>
    <t xml:space="preserve">90.8%</t>
  </si>
  <si>
    <t xml:space="preserve">91.8%</t>
  </si>
  <si>
    <t xml:space="preserve">8.2%</t>
  </si>
  <si>
    <t xml:space="preserve">87.3%</t>
  </si>
  <si>
    <t xml:space="preserve">12.7%</t>
  </si>
  <si>
    <t xml:space="preserve">91.1%</t>
  </si>
  <si>
    <t xml:space="preserve">8.9%</t>
  </si>
  <si>
    <t xml:space="preserve">health_ind_illness_overall_D_by_health_ind_sex</t>
  </si>
  <si>
    <t xml:space="preserve">85.1%</t>
  </si>
  <si>
    <t xml:space="preserve">14.9%</t>
  </si>
  <si>
    <t xml:space="preserve">84.3%</t>
  </si>
  <si>
    <t xml:space="preserve">15.7%</t>
  </si>
  <si>
    <t xml:space="preserve">health_ind_illness_overall_D_by_residency_status</t>
  </si>
  <si>
    <t xml:space="preserve">health_ind_measles_vaccination_overall</t>
  </si>
  <si>
    <t xml:space="preserve">4.7%</t>
  </si>
  <si>
    <t xml:space="preserve">77.6%</t>
  </si>
  <si>
    <t xml:space="preserve">health_ind_measles_vaccination_overall_D_by_age_group</t>
  </si>
  <si>
    <t xml:space="preserve">17.2%</t>
  </si>
  <si>
    <t xml:space="preserve">78.3%</t>
  </si>
  <si>
    <t xml:space="preserve">18.1%</t>
  </si>
  <si>
    <t xml:space="preserve">5.1%</t>
  </si>
  <si>
    <t xml:space="preserve">76.8%</t>
  </si>
  <si>
    <t xml:space="preserve">health_ind_measles_vaccination_overall_D_by_health_ind_sex</t>
  </si>
  <si>
    <t xml:space="preserve">15.4%</t>
  </si>
  <si>
    <t xml:space="preserve">5.5%</t>
  </si>
  <si>
    <t xml:space="preserve">79.1%</t>
  </si>
  <si>
    <t xml:space="preserve">19.7%</t>
  </si>
  <si>
    <t xml:space="preserve">76.3%</t>
  </si>
  <si>
    <t xml:space="preserve">health_ind_received_healthcare_overall</t>
  </si>
  <si>
    <t xml:space="preserve">35.1%</t>
  </si>
  <si>
    <t xml:space="preserve">64.9%</t>
  </si>
  <si>
    <t xml:space="preserve">health_ind_received_healthcare_overall_D_by_age_group</t>
  </si>
  <si>
    <t xml:space="preserve">29.3%</t>
  </si>
  <si>
    <t xml:space="preserve">70.7%</t>
  </si>
  <si>
    <t xml:space="preserve">33.3%</t>
  </si>
  <si>
    <t xml:space="preserve">66.7%</t>
  </si>
  <si>
    <t xml:space="preserve">39.3%</t>
  </si>
  <si>
    <t xml:space="preserve">60.7%</t>
  </si>
  <si>
    <t xml:space="preserve">50.0%</t>
  </si>
  <si>
    <t xml:space="preserve">38.5%</t>
  </si>
  <si>
    <t xml:space="preserve">61.5%</t>
  </si>
  <si>
    <t xml:space="preserve">health_ind_received_healthcare_overall_D_by_health_ind_sex</t>
  </si>
  <si>
    <t xml:space="preserve">36.7%</t>
  </si>
  <si>
    <t xml:space="preserve">63.3%</t>
  </si>
  <si>
    <t xml:space="preserve">health_ind_received_healthcare_overall_D_by_residency_status</t>
  </si>
  <si>
    <t xml:space="preserve">health_ind_symptom_overall</t>
  </si>
  <si>
    <t xml:space="preserve">Fièvre</t>
  </si>
  <si>
    <t xml:space="preserve">Diarrhée</t>
  </si>
  <si>
    <t xml:space="preserve">Toux</t>
  </si>
  <si>
    <t xml:space="preserve">Rapide et difficulté à respirer</t>
  </si>
  <si>
    <t xml:space="preserve">Infection oculaire ou yeux rouges</t>
  </si>
  <si>
    <t xml:space="preserve">Infection de la peau</t>
  </si>
  <si>
    <t xml:space="preserve">Infection de l'oreille</t>
  </si>
  <si>
    <t xml:space="preserve">Éruption cutanée avec des bosses surélevées sur la tête, cou</t>
  </si>
  <si>
    <t xml:space="preserve">Vomissements</t>
  </si>
  <si>
    <t xml:space="preserve">Maux de ventre</t>
  </si>
  <si>
    <t xml:space="preserve">Maux de tête</t>
  </si>
  <si>
    <t xml:space="preserve">62.4%</t>
  </si>
  <si>
    <t xml:space="preserve">26.2%</t>
  </si>
  <si>
    <t xml:space="preserve">16.2%</t>
  </si>
  <si>
    <t xml:space="preserve">1.8%</t>
  </si>
  <si>
    <t xml:space="preserve">2.6%</t>
  </si>
  <si>
    <t xml:space="preserve">0.7%</t>
  </si>
  <si>
    <t xml:space="preserve">13.3%</t>
  </si>
  <si>
    <t xml:space="preserve">28.4%</t>
  </si>
  <si>
    <t xml:space="preserve">health_ind_vitamin_a_vaccination_overall</t>
  </si>
  <si>
    <t xml:space="preserve">96.6%</t>
  </si>
  <si>
    <t xml:space="preserve">3.4%</t>
  </si>
  <si>
    <t xml:space="preserve">health_ind_vitamin_a_vaccination_overall_D_by_age_group</t>
  </si>
  <si>
    <t xml:space="preserve">96.5%</t>
  </si>
  <si>
    <t xml:space="preserve">health_ind_vitamin_a_vaccination_overall_D_by_health_ind_sex</t>
  </si>
  <si>
    <t xml:space="preserve">95.5%</t>
  </si>
  <si>
    <t xml:space="preserve">4.5%</t>
  </si>
  <si>
    <t xml:space="preserve">97.6%</t>
  </si>
  <si>
    <t xml:space="preserve">ind_relationship_hohh_overall</t>
  </si>
  <si>
    <t xml:space="preserve">Chef de ménage</t>
  </si>
  <si>
    <t xml:space="preserve">Conjoint(e) du ou de la chef.fe de ménage</t>
  </si>
  <si>
    <t xml:space="preserve">Cousin</t>
  </si>
  <si>
    <t xml:space="preserve">Enfant</t>
  </si>
  <si>
    <t xml:space="preserve">Famille élargie (oncle/tante/nièce/neveu/cousin, etc)</t>
  </si>
  <si>
    <t xml:space="preserve">Fière (frère ou sœur)</t>
  </si>
  <si>
    <t xml:space="preserve">Grand-parent</t>
  </si>
  <si>
    <t xml:space="preserve">Neveu / Nièce</t>
  </si>
  <si>
    <t xml:space="preserve">Parent</t>
  </si>
  <si>
    <t xml:space="preserve">Petit enfant</t>
  </si>
  <si>
    <t xml:space="preserve">56.7%</t>
  </si>
  <si>
    <t xml:space="preserve">10.0%</t>
  </si>
  <si>
    <t xml:space="preserve">0.2%</t>
  </si>
  <si>
    <t xml:space="preserve">1.9%</t>
  </si>
  <si>
    <t xml:space="preserve">ind_sex_overall</t>
  </si>
  <si>
    <t xml:space="preserve">Femme</t>
  </si>
  <si>
    <t xml:space="preserve">Homme</t>
  </si>
  <si>
    <t xml:space="preserve">52.6%</t>
  </si>
  <si>
    <t xml:space="preserve">47.4%</t>
  </si>
  <si>
    <t xml:space="preserve">num_hh_overall</t>
  </si>
  <si>
    <t xml:space="preserve">nut_caregiver_present_overall</t>
  </si>
  <si>
    <t xml:space="preserve">3.6%</t>
  </si>
  <si>
    <t xml:space="preserve">96.4%</t>
  </si>
  <si>
    <t xml:space="preserve">nut_child_present_overall</t>
  </si>
  <si>
    <t xml:space="preserve">nut_cmam_enrollment_overall</t>
  </si>
  <si>
    <t xml:space="preserve">Alimentation supplémentaire (TSFP)</t>
  </si>
  <si>
    <t xml:space="preserve">Alimentation thérapeutique ambulatoire (OTP)</t>
  </si>
  <si>
    <t xml:space="preserve">Pas dans aucun programme</t>
  </si>
  <si>
    <t xml:space="preserve">Soins aux patients hospitalisés (centre de stabilisation)</t>
  </si>
  <si>
    <t xml:space="preserve">12.9%</t>
  </si>
  <si>
    <t xml:space="preserve">64.5%</t>
  </si>
  <si>
    <t xml:space="preserve">9.7%</t>
  </si>
  <si>
    <t xml:space="preserve">nut_cmam_enrollment_overall_D_by_age_group_nut</t>
  </si>
  <si>
    <t xml:space="preserve">age_group_nut</t>
  </si>
  <si>
    <t xml:space="preserve">06-23</t>
  </si>
  <si>
    <t xml:space="preserve">19.0%</t>
  </si>
  <si>
    <t xml:space="preserve">14.3%</t>
  </si>
  <si>
    <t xml:space="preserve">52.4%</t>
  </si>
  <si>
    <t xml:space="preserve">24-59</t>
  </si>
  <si>
    <t xml:space="preserve">90.0%</t>
  </si>
  <si>
    <t xml:space="preserve">nut_cmam_enrollment_overall_D_by_child_sex</t>
  </si>
  <si>
    <t xml:space="preserve">child_sex</t>
  </si>
  <si>
    <t xml:space="preserve">15.0%</t>
  </si>
  <si>
    <t xml:space="preserve">65.0%</t>
  </si>
  <si>
    <t xml:space="preserve">9.1%</t>
  </si>
  <si>
    <t xml:space="preserve">18.2%</t>
  </si>
  <si>
    <t xml:space="preserve">63.6%</t>
  </si>
  <si>
    <t xml:space="preserve">nut_complementary_feeding_challenges_overall</t>
  </si>
  <si>
    <t xml:space="preserve">Aucun défis</t>
  </si>
  <si>
    <t xml:space="preserve">Manque d'argent / obstacles financiers pour acheter de la nourriture</t>
  </si>
  <si>
    <t xml:space="preserve">Les prix élevés des aliments / la nourriture coûtent cher</t>
  </si>
  <si>
    <t xml:space="preserve">Manque d'informations adéquates sur l'alimentation du nourrisson et du jeune enfant</t>
  </si>
  <si>
    <t xml:space="preserve">L'enfant est malade / faible appétit</t>
  </si>
  <si>
    <t xml:space="preserve">Mauvaises pratiques hygiéniques / manque d'eau</t>
  </si>
  <si>
    <t xml:space="preserve">Manque de temps pour préparer les aliments pour les tâches enfants / ménages</t>
  </si>
  <si>
    <t xml:space="preserve">Manque de temps pour prendre en charge l'enfant</t>
  </si>
  <si>
    <t xml:space="preserve">Manque d'informations sur l'importance de l'alimentation complémentaire</t>
  </si>
  <si>
    <t xml:space="preserve">19.9%</t>
  </si>
  <si>
    <t xml:space="preserve">66.8%</t>
  </si>
  <si>
    <t xml:space="preserve">62.3%</t>
  </si>
  <si>
    <t xml:space="preserve">3.9%</t>
  </si>
  <si>
    <t xml:space="preserve">nut_complementary_feeding_challenges_overall_D_by_child_sex</t>
  </si>
  <si>
    <t xml:space="preserve">59.2%</t>
  </si>
  <si>
    <t xml:space="preserve">11.5%</t>
  </si>
  <si>
    <t xml:space="preserve">1.7%</t>
  </si>
  <si>
    <t xml:space="preserve">20.9%</t>
  </si>
  <si>
    <t xml:space="preserve">68.4%</t>
  </si>
  <si>
    <t xml:space="preserve">65.2%</t>
  </si>
  <si>
    <t xml:space="preserve">4.3%</t>
  </si>
  <si>
    <t xml:space="preserve">nut_edema_confirm_overall</t>
  </si>
  <si>
    <t xml:space="preserve">nut_edema_overall</t>
  </si>
  <si>
    <t xml:space="preserve">98.9%</t>
  </si>
  <si>
    <t xml:space="preserve">nut_food_child_consumptions_overall</t>
  </si>
  <si>
    <t xml:space="preserve">Lait maternel</t>
  </si>
  <si>
    <t xml:space="preserve">Céréales, racines, tubercules et plantains</t>
  </si>
  <si>
    <t xml:space="preserve">Légumes secs (haricots, pois, lentilles), noix et graines</t>
  </si>
  <si>
    <t xml:space="preserve">Produits laitiers (lait, lait maternisé, yaourt, fromage)</t>
  </si>
  <si>
    <t xml:space="preserve">Aliments à base de chair (viande, poisson, volaille, abats)</t>
  </si>
  <si>
    <t xml:space="preserve">Œufs</t>
  </si>
  <si>
    <t xml:space="preserve">Fruits et légumes riches en vitamine A</t>
  </si>
  <si>
    <t xml:space="preserve">Autres fruits et légumes (sans vitamine A)</t>
  </si>
  <si>
    <t xml:space="preserve">44.0%</t>
  </si>
  <si>
    <t xml:space="preserve">87.8%</t>
  </si>
  <si>
    <t xml:space="preserve">42.7%</t>
  </si>
  <si>
    <t xml:space="preserve">10.5%</t>
  </si>
  <si>
    <t xml:space="preserve">nut_food_child_consumptions_overall_D_by_child_sex</t>
  </si>
  <si>
    <t xml:space="preserve">44.3%</t>
  </si>
  <si>
    <t xml:space="preserve">9.8%</t>
  </si>
  <si>
    <t xml:space="preserve">42.2%</t>
  </si>
  <si>
    <t xml:space="preserve">90.4%</t>
  </si>
  <si>
    <t xml:space="preserve">11.2%</t>
  </si>
  <si>
    <t xml:space="preserve">nut_muac_cm_overall</t>
  </si>
  <si>
    <t xml:space="preserve">nut_muac_cm_overall_D_by_age_group_nut</t>
  </si>
  <si>
    <t xml:space="preserve">nut_muac_cm_overall_D_by_child_sex</t>
  </si>
  <si>
    <t xml:space="preserve">residency_status_overall</t>
  </si>
  <si>
    <t xml:space="preserve">respondent_consent_overall</t>
  </si>
  <si>
    <t xml:space="preserve">sante_mentale_1_overall</t>
  </si>
  <si>
    <t xml:space="preserve">De temps en temps</t>
  </si>
  <si>
    <t xml:space="preserve">Jamais</t>
  </si>
  <si>
    <t xml:space="preserve">La plupart du temps</t>
  </si>
  <si>
    <t xml:space="preserve">Rarement</t>
  </si>
  <si>
    <t xml:space="preserve">Tout le temps</t>
  </si>
  <si>
    <t xml:space="preserve">22.4%</t>
  </si>
  <si>
    <t xml:space="preserve">48.8%</t>
  </si>
  <si>
    <t xml:space="preserve">sante_mentale_2_overall</t>
  </si>
  <si>
    <t xml:space="preserve">22.0%</t>
  </si>
  <si>
    <t xml:space="preserve">10.4%</t>
  </si>
  <si>
    <t xml:space="preserve">sante_mentale_3_overall</t>
  </si>
  <si>
    <t xml:space="preserve">(si volontaire) Préfère ne pas répondre</t>
  </si>
  <si>
    <t xml:space="preserve">22.8%</t>
  </si>
  <si>
    <t xml:space="preserve">16.0%</t>
  </si>
  <si>
    <t xml:space="preserve">46.8%</t>
  </si>
  <si>
    <t xml:space="preserve">sante_mentale_4_overall</t>
  </si>
  <si>
    <t xml:space="preserve">42.4%</t>
  </si>
  <si>
    <t xml:space="preserve">37.2%</t>
  </si>
  <si>
    <t xml:space="preserve">sante_mentale_5_overall</t>
  </si>
  <si>
    <t xml:space="preserve">26.0%</t>
  </si>
  <si>
    <t xml:space="preserve">6.8%</t>
  </si>
  <si>
    <t xml:space="preserve">43.2%</t>
  </si>
  <si>
    <t xml:space="preserve">sante_mentale_6_overall</t>
  </si>
  <si>
    <t xml:space="preserve">20.8%</t>
  </si>
  <si>
    <t xml:space="preserve">42.8%</t>
  </si>
  <si>
    <t xml:space="preserve">shelter_type_overall</t>
  </si>
  <si>
    <t xml:space="preserve">Appartement solide / fini</t>
  </si>
  <si>
    <t xml:space="preserve">Aucun (dormant en ouvert)</t>
  </si>
  <si>
    <t xml:space="preserve">Bâtiment inachevé / non fermé</t>
  </si>
  <si>
    <t xml:space="preserve">Maison solide / finie</t>
  </si>
  <si>
    <t xml:space="preserve">Refuge de fortune</t>
  </si>
  <si>
    <t xml:space="preserve">Tente</t>
  </si>
  <si>
    <t xml:space="preserve">6.0%</t>
  </si>
  <si>
    <t xml:space="preserve">wash_containers_overall</t>
  </si>
  <si>
    <t xml:space="preserve">wash_different_water_sources_overall</t>
  </si>
  <si>
    <t xml:space="preserve">Eau du robinet dans la concession</t>
  </si>
  <si>
    <t xml:space="preserve">Source protégée</t>
  </si>
  <si>
    <t xml:space="preserve">Source non protégée</t>
  </si>
  <si>
    <t xml:space="preserve">Eau amenée par camion</t>
  </si>
  <si>
    <t xml:space="preserve">Eau amenée par tricycle</t>
  </si>
  <si>
    <t xml:space="preserve">Chariot avec petit réservoir / baril</t>
  </si>
  <si>
    <t xml:space="preserve">Kiosque à eau</t>
  </si>
  <si>
    <t xml:space="preserve">Eau en bouteille</t>
  </si>
  <si>
    <t xml:space="preserve">Sachet d'eau / eau en sachet</t>
  </si>
  <si>
    <t xml:space="preserve">Eau de pluie</t>
  </si>
  <si>
    <t xml:space="preserve">Cours d'eau (fleuve, rivière, ruisseau, eau de surface, etc)</t>
  </si>
  <si>
    <t xml:space="preserve">53.6%</t>
  </si>
  <si>
    <t xml:space="preserve">25.0%</t>
  </si>
  <si>
    <t xml:space="preserve">16.1%</t>
  </si>
  <si>
    <t xml:space="preserve">wash_num_containers_overall</t>
  </si>
  <si>
    <t xml:space="preserve">wash_num_share_toilet_overall</t>
  </si>
  <si>
    <t xml:space="preserve">wash_other_water_sources_overall</t>
  </si>
  <si>
    <t xml:space="preserve">wash_share_toilet_facility_overall</t>
  </si>
  <si>
    <t xml:space="preserve">42.9%</t>
  </si>
  <si>
    <t xml:space="preserve">57.1%</t>
  </si>
  <si>
    <t xml:space="preserve">wash_soap_access_overall</t>
  </si>
  <si>
    <t xml:space="preserve">Oui, et ils ont apporté le savon en 1 minute</t>
  </si>
  <si>
    <t xml:space="preserve">Oui, mais ne voyez pas de savon en 1 minute</t>
  </si>
  <si>
    <t xml:space="preserve">Pas de savon dans la maison</t>
  </si>
  <si>
    <t xml:space="preserve">81.2%</t>
  </si>
  <si>
    <t xml:space="preserve">wash_toilet_facility_overall</t>
  </si>
  <si>
    <t xml:space="preserve">Défécation à l'air libre</t>
  </si>
  <si>
    <t xml:space="preserve">Latrines SanPlat améliorées (dalle en béton et fosse maçonnée)</t>
  </si>
  <si>
    <t xml:space="preserve">Latrines traditionnelles avec dalle en béton/latrine SanPlat</t>
  </si>
  <si>
    <t xml:space="preserve">Latrines traditionnelles sans dalle en béton</t>
  </si>
  <si>
    <t xml:space="preserve">Latrines VIP une fosse avec dalle</t>
  </si>
  <si>
    <t xml:space="preserve">72.0%</t>
  </si>
  <si>
    <t xml:space="preserve">8.4%</t>
  </si>
  <si>
    <t xml:space="preserve">7.6%</t>
  </si>
  <si>
    <t xml:space="preserve">wash_water_collect_time_overall</t>
  </si>
  <si>
    <t xml:space="preserve">Les membres ne collectent pas d'eau car l'eau est présente sur place</t>
  </si>
  <si>
    <t xml:space="preserve">Nombre de minutes (nombre entier)</t>
  </si>
  <si>
    <t xml:space="preserve">99.2%</t>
  </si>
  <si>
    <t xml:space="preserve">wash_water_interuption_num_days_overall</t>
  </si>
  <si>
    <t xml:space="preserve">wash_water_interuption_overall</t>
  </si>
  <si>
    <t xml:space="preserve">wash_water_source_overall</t>
  </si>
  <si>
    <t xml:space="preserve">40.0%</t>
  </si>
  <si>
    <t xml:space="preserve">wash_water_treatment_overall</t>
  </si>
  <si>
    <t xml:space="preserve">Aucun traitement</t>
  </si>
  <si>
    <t xml:space="preserve">Comprimé de chlore / aquatab</t>
  </si>
  <si>
    <t xml:space="preserve">Faire bouillir l'eau</t>
  </si>
  <si>
    <t xml:space="preserve">Tissu filtrant</t>
  </si>
  <si>
    <t xml:space="preserve">98.8%</t>
  </si>
  <si>
    <t xml:space="preserve">wash_wise_drink_overall</t>
  </si>
  <si>
    <t xml:space="preserve">Jamais (0 fois)</t>
  </si>
  <si>
    <t xml:space="preserve">Parfois (3-10 fois)</t>
  </si>
  <si>
    <t xml:space="preserve">Rarement (1-2 fois)</t>
  </si>
  <si>
    <t xml:space="preserve">52.0%</t>
  </si>
  <si>
    <t xml:space="preserve">wash_wise_hands_overall</t>
  </si>
  <si>
    <t xml:space="preserve">33.2%</t>
  </si>
  <si>
    <t xml:space="preserve">58.4%</t>
  </si>
  <si>
    <t xml:space="preserve">wash_wise_plans_overall</t>
  </si>
  <si>
    <t xml:space="preserve">Toujours (plus de 20 fois)</t>
  </si>
  <si>
    <t xml:space="preserve">wash_wise_worry_overall</t>
  </si>
  <si>
    <t xml:space="preserve">65.6%</t>
  </si>
  <si>
    <t xml:space="preserve">Prevalence of acute malnutrition based on MUAC cut off's (and/or oedema) and by sex</t>
  </si>
  <si>
    <t xml:space="preserve">AMN_MUAC_Indicator</t>
  </si>
  <si>
    <t xml:space="preserve">All</t>
  </si>
  <si>
    <t xml:space="preserve">Female</t>
  </si>
  <si>
    <t xml:space="preserve">Male</t>
  </si>
  <si>
    <t xml:space="preserve">Prevalence of global malnutrition
(&lt; 125 mm and/or oedema)</t>
  </si>
  <si>
    <t xml:space="preserve">(31) 8.59 / [5.68 - 11.49] (95% C.I.)</t>
  </si>
  <si>
    <t xml:space="preserve">(20) 11.49 / [6.73 - 16.26] (95% C.I.)</t>
  </si>
  <si>
    <t xml:space="preserve">(11) 5.88 / [2.49 - 9.27] (95% C.I.)</t>
  </si>
  <si>
    <t xml:space="preserve">Prevalence of moderate malnutrition
(&lt; 125 mm and &gt;115 mm, no oedema)</t>
  </si>
  <si>
    <t xml:space="preserve">(19) 5.26 / [2.95 - 7.58] (95% C.I.)</t>
  </si>
  <si>
    <t xml:space="preserve">(12) 6.9 / [3.11 - 10.68] (95% C.I.)</t>
  </si>
  <si>
    <t xml:space="preserve">(7) 3.74 / [1.01 - 6.48] (95% C.I.)</t>
  </si>
  <si>
    <t xml:space="preserve">Prevalence of severe malnutrition
(&lt; 115 mm and/or oedema)</t>
  </si>
  <si>
    <t xml:space="preserve">(12) 3.32 / [1.47 - 5.18] (95% C.I.)</t>
  </si>
  <si>
    <t xml:space="preserve">(8) 4.6 / [1.47 - 7.72] (95% C.I.)</t>
  </si>
  <si>
    <t xml:space="preserve">(4) 2.14 / [0.06 - 4.22] (95% C.I.)</t>
  </si>
  <si>
    <t xml:space="preserve">Prevalence of acute malnutrition based on MUAC cut off's (and/or oedema) and by Age Group</t>
  </si>
  <si>
    <t xml:space="preserve">Total</t>
  </si>
  <si>
    <t xml:space="preserve">gam_muac_noflag</t>
  </si>
  <si>
    <t xml:space="preserve">mam_muac_noflag</t>
  </si>
  <si>
    <t xml:space="preserve">sam_muac_noflag</t>
  </si>
  <si>
    <t xml:space="preserve">Normal</t>
  </si>
  <si>
    <t xml:space="preserve">Oedema</t>
  </si>
  <si>
    <t xml:space="preserve">06-17</t>
  </si>
  <si>
    <t xml:space="preserve">(16) 14.68 / [8 - 21.35] (95% C.I.)</t>
  </si>
  <si>
    <t xml:space="preserve">(9) 8.26 / [3.07 - 13.45] (95% C.I.)</t>
  </si>
  <si>
    <t xml:space="preserve">(7) 6.42 / [1.8 - 11.05] (95% C.I.)</t>
  </si>
  <si>
    <t xml:space="preserve">93 / 85.32%</t>
  </si>
  <si>
    <t xml:space="preserve">0 / 0%</t>
  </si>
  <si>
    <t xml:space="preserve">18-29</t>
  </si>
  <si>
    <t xml:space="preserve">(8) 10.26 / [3.49 - 17.02] (95% C.I.)</t>
  </si>
  <si>
    <t xml:space="preserve">(6) 7.69 / [1.75 - 13.63] (95% C.I.)</t>
  </si>
  <si>
    <t xml:space="preserve">(2) 2.56 / [0 - 6.09] (95% C.I.)</t>
  </si>
  <si>
    <t xml:space="preserve">70 / 89.74%</t>
  </si>
  <si>
    <t xml:space="preserve">30-41</t>
  </si>
  <si>
    <t xml:space="preserve">(4) 5.06 / [0.21 - 9.92] (95% C.I.)</t>
  </si>
  <si>
    <t xml:space="preserve">(2) 2.53 / [0 - 6.01] (95% C.I.)</t>
  </si>
  <si>
    <t xml:space="preserve">75 / 94.94%</t>
  </si>
  <si>
    <t xml:space="preserve">42-53</t>
  </si>
  <si>
    <t xml:space="preserve">(1) 1.45 / [0 - 4.28] (95% C.I.)</t>
  </si>
  <si>
    <t xml:space="preserve">(0) 0 / [0 - 0] (95% C.I.)</t>
  </si>
  <si>
    <t xml:space="preserve">68 / 98.55%</t>
  </si>
  <si>
    <t xml:space="preserve">54-59</t>
  </si>
  <si>
    <t xml:space="preserve">(2) 7.69 / [0 - 17.98] (95% C.I.)</t>
  </si>
  <si>
    <t xml:space="preserve">(1) 3.85 / [0 - 11.27] (95% C.I.)</t>
  </si>
  <si>
    <t xml:space="preserve">24 / 92.31%</t>
  </si>
  <si>
    <t xml:space="preserve">Prevalence of acute malnutrition based on MUAC-for-age z-score cut off's (and/or oedema) and by sex</t>
  </si>
  <si>
    <t xml:space="preserve">Prevalence of global malnutrition
(&lt; -2 MUAC-for-age z-score and/or oedema)</t>
  </si>
  <si>
    <t xml:space="preserve">(50) 13.97 / [10.36 - 17.57] (95% C.I.)</t>
  </si>
  <si>
    <t xml:space="preserve">(28) 16.37 / [10.8 - 21.95] (95% C.I.)</t>
  </si>
  <si>
    <t xml:space="preserve">(22) 11.76 / [7.12 - 16.4] (95% C.I.)</t>
  </si>
  <si>
    <t xml:space="preserve">Prevalence of moderate malnutrition
(&gt;= -3 and &lt; -2 MUAC-for-age z-score, no oedema)</t>
  </si>
  <si>
    <t xml:space="preserve">(38) 10.61 / [7.41 - 13.82] (95% C.I.)</t>
  </si>
  <si>
    <t xml:space="preserve">(19) 11.11 / [6.38 - 15.84] (95% C.I.)</t>
  </si>
  <si>
    <t xml:space="preserve">(19) 10.16 / [5.81 - 14.51] (95% C.I.)</t>
  </si>
  <si>
    <t xml:space="preserve">Prevalence of severe malnutrition
(&lt; -3 MUAC-for-age z-score and/or oedema)</t>
  </si>
  <si>
    <t xml:space="preserve">(12) 3.35 / [1.48 - 5.23] (95% C.I.)</t>
  </si>
  <si>
    <t xml:space="preserve">(9) 5.26 / [1.9 - 8.63] (95% C.I.)</t>
  </si>
  <si>
    <t xml:space="preserve">(3) 1.6 / [0 - 3.41] (95% C.I.)</t>
  </si>
  <si>
    <t xml:space="preserve">Mean (MFAZ and MUAC)</t>
  </si>
  <si>
    <t xml:space="preserve">Name</t>
  </si>
  <si>
    <t xml:space="preserve">Mean</t>
  </si>
  <si>
    <t xml:space="preserve">Mean_low</t>
  </si>
  <si>
    <t xml:space="preserve">Mean_upp</t>
  </si>
  <si>
    <t xml:space="preserve">muac_noflag</t>
  </si>
  <si>
    <t xml:space="preserve">mfaz_noflag</t>
  </si>
  <si>
    <t xml:space="preserve">0</t>
  </si>
  <si>
    <t xml:space="preserve">6</t>
  </si>
  <si>
    <t xml:space="preserve">7</t>
  </si>
  <si>
    <t xml:space="preserve">59</t>
  </si>
  <si>
    <t xml:space="preserve">2</t>
  </si>
  <si>
    <t xml:space="preserve">5</t>
  </si>
  <si>
    <t xml:space="preserve">3</t>
  </si>
  <si>
    <t xml:space="preserve">65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</si>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</sst>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  <b/>
    </font>
    <font>
      <sz val="14"/>
      <color theme="1"/>
      <name val="Arial"/>
      <family val="2"/>
      <b/>
    </font>
    <font>
      <sz val="11"/>
      <color theme="1"/>
      <name val="Calibri"/>
    </font>
    <font>
      <sz val="11"/>
      <color theme="1"/>
      <name val="Arial"/>
      <family val="2"/>
      <b/>
    </font>
    <font>
      <sz val="11"/>
      <color theme="10"/>
      <name val="Calibri"/>
      <u val="single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top style="thin">
        <color indexed="64"/>
      </top>
      <bottom style="double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</border>
    <border>
      <right style="thin">
        <color indexed="64"/>
      </right>
      <top style="thin">
        <color indexed="64"/>
      </top>
      <bottom style="double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</border>
    <border>
      <left style="thin">
        <color indexed="64"/>
      </left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top style="medium">
        <color indexed="64"/>
      </top>
      <bottom style="thin">
        <color indexed="64"/>
      </bottom>
    </border>
    <border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double">
        <color indexed="64"/>
      </top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/>
    <xf numFmtId="0" fontId="2" fillId="0" borderId="7" xfId="0" applyFont="1" applyBorder="1" applyAlignment="1">
      <alignment horizontal="right"/>
    </xf>
    <xf numFmtId="164" fontId="2" fillId="2" borderId="8" xfId="0" applyFont="1" applyNumberFormat="1" applyFill="1" applyBorder="1"/>
    <xf numFmtId="0" fontId="2" fillId="0" borderId="9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2" fillId="2" borderId="10" xfId="0" applyFont="1" applyFill="1" applyBorder="1"/>
    <xf numFmtId="0" fontId="2" fillId="0" borderId="10" xfId="0" applyFont="1" applyBorder="1"/>
    <xf numFmtId="0" fontId="2" fillId="0" borderId="11" xfId="0" applyFont="1" applyBorder="1"/>
    <xf numFmtId="164" fontId="2" fillId="2" borderId="12" xfId="0" applyFont="1" applyNumberFormat="1" applyFill="1" applyBorder="1"/>
    <xf numFmtId="0" fontId="2" fillId="0" borderId="13" xfId="0" applyFont="1" applyBorder="1"/>
    <xf numFmtId="0" fontId="2" fillId="3" borderId="12" xfId="0" applyFont="1" applyFill="1" applyBorder="1"/>
    <xf numFmtId="0" fontId="2" fillId="0" borderId="14" xfId="0" applyFont="1" applyBorder="1"/>
    <xf numFmtId="164" fontId="2" fillId="3" borderId="8" xfId="0" applyFont="1" applyNumberFormat="1" applyFill="1" applyBorder="1"/>
    <xf numFmtId="0" fontId="2" fillId="0" borderId="15" xfId="0" applyFont="1" applyBorder="1"/>
    <xf numFmtId="0" fontId="2" fillId="3" borderId="14" xfId="0" applyFont="1" applyFill="1" applyBorder="1"/>
    <xf numFmtId="0" fontId="2" fillId="0" borderId="0" xfId="0" applyFont="1"/>
    <xf numFmtId="164" fontId="2" fillId="3" borderId="12" xfId="0" applyFont="1" applyNumberFormat="1" applyFill="1" applyBorder="1"/>
    <xf numFmtId="0" fontId="2" fillId="4" borderId="12" xfId="0" applyFont="1" applyFill="1" applyBorder="1"/>
    <xf numFmtId="164" fontId="2" fillId="4" borderId="8" xfId="0" applyFont="1" applyNumberFormat="1" applyFill="1" applyBorder="1"/>
    <xf numFmtId="0" fontId="2" fillId="4" borderId="14" xfId="0" applyFont="1" applyFill="1" applyBorder="1"/>
    <xf numFmtId="164" fontId="2" fillId="4" borderId="12" xfId="0" applyFont="1" applyNumberFormat="1" applyFill="1" applyBorder="1"/>
    <xf numFmtId="0" fontId="2" fillId="5" borderId="12" xfId="0" applyFont="1" applyFill="1" applyBorder="1"/>
    <xf numFmtId="0" fontId="2" fillId="5" borderId="14" xfId="0" applyFont="1" applyFill="1" applyBorder="1"/>
    <xf numFmtId="164" fontId="2" fillId="5" borderId="8" xfId="0" applyFont="1" applyNumberFormat="1" applyFill="1" applyBorder="1"/>
    <xf numFmtId="0" fontId="2" fillId="5" borderId="15" xfId="0" applyFont="1" applyFill="1" applyBorder="1"/>
    <xf numFmtId="164" fontId="2" fillId="5" borderId="12" xfId="0" applyFont="1" applyNumberFormat="1" applyFill="1" applyBorder="1"/>
    <xf numFmtId="0" fontId="4" fillId="0" borderId="0" xfId="0" applyFont="1"/>
    <xf numFmtId="0" fontId="2" fillId="2" borderId="12" xfId="0" applyFont="1" applyFill="1" applyBorder="1"/>
    <xf numFmtId="0" fontId="2" fillId="2" borderId="14" xfId="0" applyFont="1" applyFill="1" applyBorder="1"/>
    <xf numFmtId="164" fontId="2" fillId="0" borderId="0" xfId="0" applyFont="1" applyNumberFormat="1"/>
    <xf numFmtId="164" fontId="2" fillId="2" borderId="13" xfId="0" applyFont="1" applyNumberFormat="1" applyFill="1" applyBorder="1"/>
    <xf numFmtId="164" fontId="2" fillId="3" borderId="13" xfId="0" applyFont="1" applyNumberFormat="1" applyFill="1" applyBorder="1"/>
    <xf numFmtId="164" fontId="2" fillId="4" borderId="13" xfId="0" applyFont="1" applyNumberForma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164" fontId="2" fillId="5" borderId="18" xfId="0" applyFont="1" applyNumberFormat="1" applyFill="1" applyBorder="1"/>
    <xf numFmtId="164" fontId="2" fillId="5" borderId="16" xfId="0" applyFont="1" applyNumberFormat="1" applyFill="1" applyBorder="1"/>
    <xf numFmtId="0" fontId="2" fillId="0" borderId="19" xfId="0" applyFont="1" applyBorder="1"/>
    <xf numFmtId="164" fontId="2" fillId="5" borderId="20" xfId="0" applyFont="1" applyNumberFormat="1" applyFill="1" applyBorder="1"/>
    <xf numFmtId="0" fontId="2" fillId="0" borderId="2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wrapText="1"/>
    </xf>
    <xf numFmtId="49" fontId="2" fillId="0" borderId="0" xfId="0" applyFont="1" applyNumberFormat="1" applyAlignment="1">
      <alignment wrapText="1"/>
    </xf>
    <xf numFmtId="0" fontId="2" fillId="0" borderId="2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77932</xdr:colOff>
      <xdr:row>0</xdr:row>
      <xdr:rowOff>51281</xdr:rowOff>
    </xdr:from>
    <xdr:to>
      <xdr:col>5</xdr:col>
      <xdr:colOff>432718</xdr:colOff>
      <xdr:row>0</xdr:row>
      <xdr:rowOff>572321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E20A8-BCE8-40D7-A56E-194904BCE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6288" y="51281"/>
          <a:ext cx="1933588" cy="52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tabSelected="true" showWhiteSpace="0" zoomScale="70" zoomScaleNormal="70" zoomScalePageLayoutView="73" workbookViewId="0">
      <selection activeCell="E14" sqref="E14"/>
    </sheetView>
  </sheetViews>
  <sheetFormatPr defaultRowHeight="15.0" baseColWidth="10"/>
  <cols>
    <col min="1" max="1" width="15.140625" hidden="0" customWidth="1"/>
    <col min="2" max="2" width="13.7109375" hidden="0" customWidth="1"/>
    <col min="3" max="3" width="10.5703125" hidden="0" customWidth="1"/>
    <col min="4" max="4" width="10" hidden="0" customWidth="1"/>
    <col min="5" max="5" width="12" hidden="0" customWidth="1"/>
    <col min="6" max="6" width="9.85546875" hidden="0" customWidth="1"/>
    <col min="7" max="7" width="10.42578125" hidden="0" customWidth="1"/>
    <col min="8" max="8" width="11.140625" hidden="0" customWidth="1"/>
    <col min="9" max="9" width="13.42578125" hidden="0" customWidth="1"/>
    <col min="10" max="10" width="28.140625" hidden="0" customWidth="1"/>
    <col min="11" max="11" width="0" hidden="1" customWidth="1"/>
    <col min="12" max="12" width="0" hidden="1" customWidth="1"/>
    <col min="13" max="13" width="0" hidden="1" customWidth="1"/>
    <col min="14" max="14" width="0" hidden="1" customWidth="1"/>
    <col min="15" max="15" width="0" hidden="1" customWidth="1"/>
  </cols>
  <sheetData>
    <row r="1" ht="50.25" customHeight="1">
      <c r="A1" s="49"/>
      <c r="B1" s="49"/>
      <c r="C1" s="49"/>
      <c r="D1" s="49"/>
      <c r="E1" s="49"/>
      <c r="F1" s="49"/>
      <c r="G1" s="49"/>
      <c r="H1" s="49"/>
      <c r="I1" s="49"/>
    </row>
    <row r="2" ht="18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34"/>
    </row>
    <row r="3" ht="15.75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ht="30.75" customHeight="1">
      <c r="A4" s="45"/>
      <c r="B4" s="56"/>
      <c r="C4" s="54" t="s">
        <v>5</v>
      </c>
      <c r="D4" s="55"/>
      <c r="E4" s="57" t="s">
        <v>8</v>
      </c>
      <c r="F4" s="58"/>
      <c r="G4" s="54" t="s">
        <v>2</v>
      </c>
      <c r="H4" s="58"/>
      <c r="I4" s="64" t="s">
        <v>10</v>
      </c>
      <c r="J4" s="65" t="s">
        <v>13</v>
      </c>
    </row>
    <row r="5" ht="15.75" customHeight="1">
      <c r="A5" s="66"/>
      <c r="B5" s="2"/>
      <c r="C5" s="3" t="s">
        <v>6</v>
      </c>
      <c r="D5" s="4" t="s">
        <v>7</v>
      </c>
      <c r="E5" s="5" t="s">
        <v>6</v>
      </c>
      <c r="F5" s="6" t="s">
        <v>7</v>
      </c>
      <c r="G5" s="3" t="s">
        <v>6</v>
      </c>
      <c r="H5" s="6" t="s">
        <v>7</v>
      </c>
      <c r="I5" s="7" t="s">
        <v>7</v>
      </c>
      <c r="J5" s="23"/>
    </row>
    <row r="6" ht="15.75" customHeight="1">
      <c r="A6" s="59" t="s">
        <v>9</v>
      </c>
      <c r="B6" s="8" t="s">
        <v>11</v>
      </c>
      <c r="C6" s="9" t="s">
        <v>539</v>
      </c>
      <c r="D6" s="10" t="e">
        <f>C6/C10</f>
        <v>#DIV/0!</v>
      </c>
      <c r="E6" s="11" t="s">
        <v>540</v>
      </c>
      <c r="F6" s="10" t="e">
        <f>E6/E10</f>
        <v>#DIV/0!</v>
      </c>
      <c r="G6" s="13" t="n">
        <f>C6+E6</f>
        <v>0</v>
      </c>
      <c r="H6" s="10" t="e">
        <f>G6/G10</f>
        <v>#DIV/0!</v>
      </c>
      <c r="I6" s="7"/>
      <c r="J6" s="23"/>
    </row>
    <row r="7">
      <c r="A7" s="60"/>
      <c r="B7" s="8" t="s">
        <v>1</v>
      </c>
      <c r="C7" s="14" t="s">
        <v>603</v>
      </c>
      <c r="D7" s="10" t="e">
        <f>C7/C10</f>
        <v>#DIV/0!</v>
      </c>
      <c r="E7" s="15" t="s">
        <v>603</v>
      </c>
      <c r="F7" s="10" t="e">
        <f>E7/E10</f>
        <v>#DIV/0!</v>
      </c>
      <c r="G7" s="13" t="n">
        <f>C7+E7</f>
        <v>0</v>
      </c>
      <c r="H7" s="16" t="e">
        <f>G7/G10</f>
        <v>#DIV/0!</v>
      </c>
      <c r="I7" s="17"/>
      <c r="J7" s="23"/>
    </row>
    <row r="8">
      <c r="A8" s="60"/>
      <c r="B8" s="18" t="s">
        <v>4</v>
      </c>
      <c r="C8" s="19" t="s">
        <v>604</v>
      </c>
      <c r="D8" s="20" t="e">
        <f>C8/C10</f>
        <v>#DIV/0!</v>
      </c>
      <c r="E8" s="21" t="s">
        <v>609</v>
      </c>
      <c r="F8" s="20" t="e">
        <f>E8/E10</f>
        <v>#DIV/0!</v>
      </c>
      <c r="G8" s="22" t="n">
        <f t="shared" ref="G8:G20" si="0">C8+E8</f>
        <v>0</v>
      </c>
      <c r="H8" s="24" t="e">
        <f>G8/G10</f>
        <v>#DIV/0!</v>
      </c>
      <c r="I8" s="17"/>
      <c r="J8" s="23"/>
    </row>
    <row r="9">
      <c r="A9" s="60"/>
      <c r="B9" s="25" t="s">
        <v>3</v>
      </c>
      <c r="C9" s="19" t="s">
        <v>605</v>
      </c>
      <c r="D9" s="26" t="e">
        <f>C9/C10</f>
        <v>#DIV/0!</v>
      </c>
      <c r="E9" s="21" t="s">
        <v>608</v>
      </c>
      <c r="F9" s="26" t="e">
        <f>E9/E10</f>
        <v>#DIV/0!</v>
      </c>
      <c r="G9" s="27" t="n">
        <f t="shared" si="0"/>
        <v>0</v>
      </c>
      <c r="H9" s="28" t="e">
        <f>G9/G10</f>
        <v>#DIV/0!</v>
      </c>
      <c r="I9" s="17"/>
      <c r="J9" s="23"/>
    </row>
    <row r="10">
      <c r="A10" s="61"/>
      <c r="B10" s="29" t="s">
        <v>2</v>
      </c>
      <c r="C10" s="30" t="n">
        <f>SUM(C6:C9)</f>
        <v>0</v>
      </c>
      <c r="D10" s="31" t="e">
        <f>SUM(D6:D9)</f>
        <v>#DIV/0!</v>
      </c>
      <c r="E10" s="32" t="n">
        <f>SUM(E6:E9)</f>
        <v>0</v>
      </c>
      <c r="F10" s="31" t="e">
        <f>SUM(F6:F9)</f>
        <v>#DIV/0!</v>
      </c>
      <c r="G10" s="30" t="n">
        <f>C10+E10</f>
        <v>0</v>
      </c>
      <c r="H10" s="33" t="e">
        <f>SUM(H6:H9)</f>
        <v>#DIV/0!</v>
      </c>
      <c r="I10" s="17"/>
      <c r="J10" s="23"/>
      <c r="L10" s="1"/>
      <c r="M10" s="1"/>
      <c r="N10" s="1"/>
      <c r="O10" s="12"/>
    </row>
    <row r="11">
      <c r="A11" s="62" t="s">
        <v>15</v>
      </c>
      <c r="B11" s="8" t="s">
        <v>11</v>
      </c>
      <c r="C11" s="19" t="s">
        <v>606</v>
      </c>
      <c r="D11" s="10" t="e">
        <f>C11/C15</f>
        <v>#DIV/0!</v>
      </c>
      <c r="E11" s="21" t="s">
        <v>610</v>
      </c>
      <c r="F11" s="10" t="e">
        <f>E11/E15</f>
        <v>#DIV/0!</v>
      </c>
      <c r="G11" s="13" t="n">
        <f>C11+E11</f>
        <v>0</v>
      </c>
      <c r="H11" s="10" t="e">
        <f>G11/G15</f>
        <v>#DIV/0!</v>
      </c>
      <c r="I11" s="17"/>
      <c r="J11" s="23"/>
      <c r="L11" s="1"/>
      <c r="M11" s="1"/>
      <c r="N11" s="1"/>
      <c r="O11" s="12"/>
    </row>
    <row r="12">
      <c r="A12" s="60"/>
      <c r="B12" s="35" t="s">
        <v>1</v>
      </c>
      <c r="C12" s="19" t="s">
        <v>603</v>
      </c>
      <c r="D12" s="10" t="e">
        <f>C12/C15</f>
        <v>#DIV/0!</v>
      </c>
      <c r="E12" s="21" t="s">
        <v>603</v>
      </c>
      <c r="F12" s="10" t="e">
        <f>E12/E15</f>
        <v>#DIV/0!</v>
      </c>
      <c r="G12" s="36" t="n">
        <f t="shared" si="0"/>
        <v>0</v>
      </c>
      <c r="H12" s="16" t="e">
        <f>G12/G15</f>
        <v>#DIV/0!</v>
      </c>
      <c r="I12" s="17"/>
      <c r="J12" s="23"/>
      <c r="L12" s="1"/>
      <c r="M12" s="1"/>
      <c r="N12" s="1"/>
      <c r="O12" s="12"/>
    </row>
    <row r="13">
      <c r="A13" s="60"/>
      <c r="B13" s="18" t="s">
        <v>4</v>
      </c>
      <c r="C13" s="19" t="s">
        <v>607</v>
      </c>
      <c r="D13" s="20" t="e">
        <f>C13/C15</f>
        <v>#DIV/0!</v>
      </c>
      <c r="E13" s="21" t="s">
        <v>611</v>
      </c>
      <c r="F13" s="20" t="e">
        <f>E13/E15</f>
        <v>#DIV/0!</v>
      </c>
      <c r="G13" s="22" t="n">
        <f t="shared" si="0"/>
        <v>0</v>
      </c>
      <c r="H13" s="24" t="e">
        <f>G13/G15</f>
        <v>#DIV/0!</v>
      </c>
      <c r="I13" s="17"/>
      <c r="J13" s="23"/>
      <c r="L13" s="12"/>
      <c r="M13" s="12"/>
      <c r="N13" s="12"/>
      <c r="O13" s="12"/>
    </row>
    <row r="14">
      <c r="A14" s="60"/>
      <c r="B14" s="25" t="s">
        <v>3</v>
      </c>
      <c r="C14" s="19" t="s">
        <v>608</v>
      </c>
      <c r="D14" s="26" t="e">
        <f>C14/C15</f>
        <v>#DIV/0!</v>
      </c>
      <c r="E14" s="21" t="s">
        <v>607</v>
      </c>
      <c r="F14" s="26" t="e">
        <f>E14/E15</f>
        <v>#DIV/0!</v>
      </c>
      <c r="G14" s="27" t="n">
        <f t="shared" si="0"/>
        <v>0</v>
      </c>
      <c r="H14" s="28" t="e">
        <f>G14/G15</f>
        <v>#DIV/0!</v>
      </c>
      <c r="I14" s="17"/>
      <c r="J14" s="23"/>
    </row>
    <row r="15">
      <c r="A15" s="61"/>
      <c r="B15" s="29" t="s">
        <v>2</v>
      </c>
      <c r="C15" s="30" t="n">
        <f>SUM(C11:C14)</f>
        <v>0</v>
      </c>
      <c r="D15" s="31" t="e">
        <f>SUM(D11:D14)</f>
        <v>#DIV/0!</v>
      </c>
      <c r="E15" s="32" t="n">
        <f>SUM(E11:E14)</f>
        <v>0</v>
      </c>
      <c r="F15" s="31" t="e">
        <f>SUM(F11:F14)</f>
        <v>#DIV/0!</v>
      </c>
      <c r="G15" s="30" t="n">
        <f>C15+E15</f>
        <v>0</v>
      </c>
      <c r="H15" s="33" t="e">
        <f>SUM(H11:H14)</f>
        <v>#DIV/0!</v>
      </c>
      <c r="I15" s="17"/>
      <c r="J15" s="37" t="e">
        <f>G15/G20</f>
        <v>#DIV/0!</v>
      </c>
    </row>
    <row r="16">
      <c r="A16" s="62" t="s">
        <v>2</v>
      </c>
      <c r="B16" s="8" t="s">
        <v>11</v>
      </c>
      <c r="C16" s="36" t="n">
        <f>C6+C11</f>
        <v>0</v>
      </c>
      <c r="D16" s="10" t="e">
        <f>C16/C20</f>
        <v>#DIV/0!</v>
      </c>
      <c r="E16" s="36" t="n">
        <f>E6+E11</f>
        <v>0</v>
      </c>
      <c r="F16" s="10" t="e">
        <f>E16/E20</f>
        <v>#DIV/0!</v>
      </c>
      <c r="G16" s="36" t="n">
        <f>C16+E16</f>
        <v>0</v>
      </c>
      <c r="H16" s="10" t="e">
        <f>G16/G20</f>
        <v>#DIV/0!</v>
      </c>
      <c r="I16" s="38" t="e">
        <f>((H6)+(2*H11))/3</f>
        <v>#DIV/0!</v>
      </c>
      <c r="J16" s="23"/>
    </row>
    <row r="17">
      <c r="A17" s="60"/>
      <c r="B17" s="35" t="s">
        <v>1</v>
      </c>
      <c r="C17" s="36" t="n">
        <f>C7+C12</f>
        <v>0</v>
      </c>
      <c r="D17" s="10" t="e">
        <f>C17/C20</f>
        <v>#DIV/0!</v>
      </c>
      <c r="E17" s="36" t="n">
        <f>E7+E12</f>
        <v>0</v>
      </c>
      <c r="F17" s="10" t="e">
        <f>E17/E20</f>
        <v>#DIV/0!</v>
      </c>
      <c r="G17" s="36" t="n">
        <f>C17+E17</f>
        <v>0</v>
      </c>
      <c r="H17" s="16" t="e">
        <f>G17/G20</f>
        <v>#DIV/0!</v>
      </c>
      <c r="I17" s="38" t="e">
        <f>((H7)+(2*H12))/3</f>
        <v>#DIV/0!</v>
      </c>
      <c r="J17" s="23"/>
    </row>
    <row r="18">
      <c r="A18" s="60"/>
      <c r="B18" s="18" t="s">
        <v>4</v>
      </c>
      <c r="C18" s="22" t="n">
        <f>C8+C13</f>
        <v>0</v>
      </c>
      <c r="D18" s="20" t="e">
        <f>C18/C20</f>
        <v>#DIV/0!</v>
      </c>
      <c r="E18" s="22" t="n">
        <f>E8+E13</f>
        <v>0</v>
      </c>
      <c r="F18" s="20" t="e">
        <f>E18/E20</f>
        <v>#DIV/0!</v>
      </c>
      <c r="G18" s="22" t="n">
        <f t="shared" si="0"/>
        <v>0</v>
      </c>
      <c r="H18" s="24" t="e">
        <f>G18/G20</f>
        <v>#DIV/0!</v>
      </c>
      <c r="I18" s="39" t="e">
        <f>((H8)+(2*H13))/3</f>
        <v>#DIV/0!</v>
      </c>
      <c r="J18" s="23"/>
    </row>
    <row r="19">
      <c r="A19" s="60"/>
      <c r="B19" s="25" t="s">
        <v>3</v>
      </c>
      <c r="C19" s="27" t="n">
        <f>C9+C14</f>
        <v>0</v>
      </c>
      <c r="D19" s="26" t="e">
        <f>C19/C20</f>
        <v>#DIV/0!</v>
      </c>
      <c r="E19" s="27" t="n">
        <f>E9+E14</f>
        <v>0</v>
      </c>
      <c r="F19" s="26" t="e">
        <f>E19/E20</f>
        <v>#DIV/0!</v>
      </c>
      <c r="G19" s="27" t="n">
        <f t="shared" si="0"/>
        <v>0</v>
      </c>
      <c r="H19" s="28" t="e">
        <f>G19/G20</f>
        <v>#DIV/0!</v>
      </c>
      <c r="I19" s="40" t="e">
        <f>((H9)+(2*H14))/3</f>
        <v>#DIV/0!</v>
      </c>
      <c r="J19" s="23"/>
    </row>
    <row r="20" ht="15.75" customHeight="1">
      <c r="A20" s="63"/>
      <c r="B20" s="41" t="s">
        <v>2</v>
      </c>
      <c r="C20" s="42" t="n">
        <f>C10+C15</f>
        <v>0</v>
      </c>
      <c r="D20" s="43" t="e">
        <f>SUM(D16:D19)</f>
        <v>#DIV/0!</v>
      </c>
      <c r="E20" s="42" t="n">
        <f>E10+E15</f>
        <v>0</v>
      </c>
      <c r="F20" s="43" t="e">
        <f>SUM(F16:F19)</f>
        <v>#DIV/0!</v>
      </c>
      <c r="G20" s="42" t="n">
        <f t="shared" si="0"/>
        <v>0</v>
      </c>
      <c r="H20" s="44" t="e">
        <f>SUM(H16:H19)</f>
        <v>#DIV/0!</v>
      </c>
      <c r="I20" s="46" t="e">
        <f>((H10)+(2*H15))/3</f>
        <v>#DIV/0!</v>
      </c>
      <c r="J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ht="31.5" customHeight="1">
      <c r="A22" s="50" t="s">
        <v>14</v>
      </c>
      <c r="B22" s="51"/>
      <c r="C22" s="51"/>
      <c r="D22" s="51"/>
      <c r="E22" s="51"/>
      <c r="F22" s="51"/>
      <c r="G22" s="51"/>
      <c r="H22" s="51"/>
      <c r="I22" s="52"/>
      <c r="J22" s="23"/>
    </row>
    <row r="23" ht="10.5" customHeight="1">
      <c r="A23" s="47"/>
      <c r="B23" s="48"/>
      <c r="C23" s="48"/>
      <c r="D23" s="48"/>
      <c r="E23" s="48"/>
      <c r="F23" s="48"/>
      <c r="G23" s="48"/>
      <c r="H23" s="48"/>
      <c r="I23" s="48"/>
      <c r="J23" s="23"/>
    </row>
    <row r="24" ht="54" customHeight="1">
      <c r="A24" s="50" t="s">
        <v>12</v>
      </c>
      <c r="B24" s="51"/>
      <c r="C24" s="51"/>
      <c r="D24" s="51"/>
      <c r="E24" s="51"/>
      <c r="F24" s="51"/>
      <c r="G24" s="51"/>
      <c r="H24" s="51"/>
      <c r="I24" s="52"/>
      <c r="J24" s="23"/>
    </row>
  </sheetData>
  <mergeCells count="10">
    <mergeCell ref="A1:I1"/>
    <mergeCell ref="A24:I24"/>
    <mergeCell ref="A2:I2"/>
    <mergeCell ref="C4:D4"/>
    <mergeCell ref="E4:F4"/>
    <mergeCell ref="G4:H4"/>
    <mergeCell ref="A22:I22"/>
    <mergeCell ref="A6:A10"/>
    <mergeCell ref="A11:A15"/>
    <mergeCell ref="A16:A20"/>
  </mergeCells>
  <pageMargins left="0.7" right="0.7" top="0.75" bottom="0.75" header="0.3" footer="0.3"/>
  <pageSetup scale="91" orientation="landscape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2">
      <c r="A2" s="67" t="str">
        <f>=HYPERLINK("#'Data'!A1", "admin1_overall")</f>
      </c>
    </row>
    <row r="3">
      <c r="A3" s="67" t="str">
        <f>=HYPERLINK("#'Data'!A5", "admin2_overall")</f>
      </c>
    </row>
    <row r="4">
      <c r="A4" s="67" t="str">
        <f>=HYPERLINK("#'Data'!A9", "admin3_overall")</f>
      </c>
    </row>
    <row r="5">
      <c r="A5" s="67" t="str">
        <f>=HYPERLINK("#'Data'!A13", "admin4_overall")</f>
      </c>
    </row>
    <row r="6">
      <c r="A6" s="67" t="str">
        <f>=HYPERLINK("#'Data'!A17", "age_group_overall")</f>
      </c>
    </row>
    <row r="7">
      <c r="A7" s="67" t="str">
        <f>=HYPERLINK("#'Data'!A21", "calc_final_age_years_overall")</f>
      </c>
    </row>
    <row r="8">
      <c r="A8" s="67" t="str">
        <f>=HYPERLINK("#'Data'!A25", "chgt_cmprtement_enft_overall")</f>
      </c>
    </row>
    <row r="9">
      <c r="A9" s="67" t="str">
        <f>=HYPERLINK("#'Data'!A29", "cluster_overall")</f>
      </c>
    </row>
    <row r="10">
      <c r="A10" s="67" t="str">
        <f>=HYPERLINK("#'Data'!A33", "enumerator_overall")</f>
      </c>
    </row>
    <row r="11">
      <c r="A11" s="67" t="str">
        <f>=HYPERLINK("#'Data'!A37", "facteur_principaux_overall")</f>
      </c>
    </row>
    <row r="12">
      <c r="A12" s="67" t="str">
        <f>=HYPERLINK("#'Data'!A41", "fsl_first_food_sources_overall")</f>
      </c>
    </row>
    <row r="13">
      <c r="A13" s="67" t="str">
        <f>=HYPERLINK("#'Data'!A45", "fsl_food_sources_barriers_overall")</f>
      </c>
    </row>
    <row r="14">
      <c r="A14" s="67" t="str">
        <f>=HYPERLINK("#'Data'!A49", "fsl_hh_clean_water_preparation_overall")</f>
      </c>
    </row>
    <row r="15">
      <c r="A15" s="67" t="str">
        <f>=HYPERLINK("#'Data'!A53", "fsl_second_food_sources_overall")</f>
      </c>
    </row>
    <row r="16">
      <c r="A16" s="67" t="str">
        <f>=HYPERLINK("#'Data'!A57", "fsl_third_food_sources_overall")</f>
      </c>
    </row>
    <row r="17">
      <c r="A17" s="67" t="str">
        <f>=HYPERLINK("#'Data'!A61", "gestion_emotion_overall")</f>
      </c>
    </row>
    <row r="18">
      <c r="A18" s="67" t="str">
        <f>=HYPERLINK("#'Data'!A65", "health_healthcare_barriers_overall")</f>
      </c>
    </row>
    <row r="19">
      <c r="A19" s="67" t="str">
        <f>=HYPERLINK("#'Data'!A69", "health_healthcare_barriers_overall_D_by_residency_status")</f>
      </c>
    </row>
    <row r="20">
      <c r="A20" s="67" t="str">
        <f>=HYPERLINK("#'Data'!A73", "health_healthcare_barriers_overall_D_by_unmet_needs")</f>
      </c>
    </row>
    <row r="21">
      <c r="A21" s="67" t="str">
        <f>=HYPERLINK("#'Data'!A78", "health_healthcare_service_one_hour_overall")</f>
      </c>
    </row>
    <row r="22">
      <c r="A22" s="67" t="str">
        <f>=HYPERLINK("#'Data'!A82", "health_healthcare_service_one_hour_overall_D_by_residency_status")</f>
      </c>
    </row>
    <row r="23">
      <c r="A23" s="67" t="str">
        <f>=HYPERLINK("#'Data'!A86", "health_ind_cholera_vaccination_overall")</f>
      </c>
    </row>
    <row r="24">
      <c r="A24" s="67" t="str">
        <f>=HYPERLINK("#'Data'!A90", "health_ind_cholera_vaccination_overall_D_by_age_group")</f>
      </c>
    </row>
    <row r="25">
      <c r="A25" s="67" t="str">
        <f>=HYPERLINK("#'Data'!A99", "health_ind_cholera_vaccination_overall_D_by_health_ind_sex")</f>
      </c>
    </row>
    <row r="26">
      <c r="A26" s="67" t="str">
        <f>=HYPERLINK("#'Data'!A104", "health_ind_healthcare_provider_overall")</f>
      </c>
    </row>
    <row r="27">
      <c r="A27" s="67" t="str">
        <f>=HYPERLINK("#'Data'!A108", "health_ind_illness_overall")</f>
      </c>
    </row>
    <row r="28">
      <c r="A28" s="67" t="str">
        <f>=HYPERLINK("#'Data'!A112", "health_ind_illness_overall_D_by_age_group")</f>
      </c>
    </row>
    <row r="29">
      <c r="A29" s="67" t="str">
        <f>=HYPERLINK("#'Data'!A121", "health_ind_illness_overall_D_by_health_ind_sex")</f>
      </c>
    </row>
    <row r="30">
      <c r="A30" s="67" t="str">
        <f>=HYPERLINK("#'Data'!A126", "health_ind_illness_overall_D_by_residency_status")</f>
      </c>
    </row>
    <row r="31">
      <c r="A31" s="67" t="str">
        <f>=HYPERLINK("#'Data'!A130", "health_ind_measles_vaccination_overall")</f>
      </c>
    </row>
    <row r="32">
      <c r="A32" s="67" t="str">
        <f>=HYPERLINK("#'Data'!A134", "health_ind_measles_vaccination_overall_D_by_age_group")</f>
      </c>
    </row>
    <row r="33">
      <c r="A33" s="67" t="str">
        <f>=HYPERLINK("#'Data'!A139", "health_ind_measles_vaccination_overall_D_by_health_ind_sex")</f>
      </c>
    </row>
    <row r="34">
      <c r="A34" s="67" t="str">
        <f>=HYPERLINK("#'Data'!A144", "health_ind_received_healthcare_overall")</f>
      </c>
    </row>
    <row r="35">
      <c r="A35" s="67" t="str">
        <f>=HYPERLINK("#'Data'!A148", "health_ind_received_healthcare_overall_D_by_age_group")</f>
      </c>
    </row>
    <row r="36">
      <c r="A36" s="67" t="str">
        <f>=HYPERLINK("#'Data'!A157", "health_ind_received_healthcare_overall_D_by_health_ind_sex")</f>
      </c>
    </row>
    <row r="37">
      <c r="A37" s="67" t="str">
        <f>=HYPERLINK("#'Data'!A162", "health_ind_received_healthcare_overall_D_by_residency_status")</f>
      </c>
    </row>
    <row r="38">
      <c r="A38" s="67" t="str">
        <f>=HYPERLINK("#'Data'!A166", "health_ind_symptom_overall")</f>
      </c>
    </row>
    <row r="39">
      <c r="A39" s="67" t="str">
        <f>=HYPERLINK("#'Data'!A170", "health_ind_vitamin_a_vaccination_overall")</f>
      </c>
    </row>
    <row r="40">
      <c r="A40" s="67" t="str">
        <f>=HYPERLINK("#'Data'!A174", "health_ind_vitamin_a_vaccination_overall_D_by_age_group")</f>
      </c>
    </row>
    <row r="41">
      <c r="A41" s="67" t="str">
        <f>=HYPERLINK("#'Data'!A180", "health_ind_vitamin_a_vaccination_overall_D_by_health_ind_sex")</f>
      </c>
    </row>
    <row r="42">
      <c r="A42" s="67" t="str">
        <f>=HYPERLINK("#'Data'!A185", "ind_relationship_hohh_overall")</f>
      </c>
    </row>
    <row r="43">
      <c r="A43" s="67" t="str">
        <f>=HYPERLINK("#'Data'!A189", "ind_sex_overall")</f>
      </c>
    </row>
    <row r="44">
      <c r="A44" s="67" t="str">
        <f>=HYPERLINK("#'Data'!A193", "num_hh_overall")</f>
      </c>
    </row>
    <row r="45">
      <c r="A45" s="67" t="str">
        <f>=HYPERLINK("#'Data'!A197", "nut_caregiver_present_overall")</f>
      </c>
    </row>
    <row r="46">
      <c r="A46" s="67" t="str">
        <f>=HYPERLINK("#'Data'!A201", "nut_child_present_overall")</f>
      </c>
    </row>
    <row r="47">
      <c r="A47" s="67" t="str">
        <f>=HYPERLINK("#'Data'!A205", "nut_cmam_enrollment_overall")</f>
      </c>
    </row>
    <row r="48">
      <c r="A48" s="67" t="str">
        <f>=HYPERLINK("#'Data'!A209", "nut_cmam_enrollment_overall_D_by_age_group_nut")</f>
      </c>
    </row>
    <row r="49">
      <c r="A49" s="67" t="str">
        <f>=HYPERLINK("#'Data'!A214", "nut_cmam_enrollment_overall_D_by_child_sex")</f>
      </c>
    </row>
    <row r="50">
      <c r="A50" s="67" t="str">
        <f>=HYPERLINK("#'Data'!A219", "nut_complementary_feeding_challenges_overall")</f>
      </c>
    </row>
    <row r="51">
      <c r="A51" s="67" t="str">
        <f>=HYPERLINK("#'Data'!A223", "nut_complementary_feeding_challenges_overall_D_by_child_sex")</f>
      </c>
    </row>
    <row r="52">
      <c r="A52" s="67" t="str">
        <f>=HYPERLINK("#'Data'!A228", "nut_edema_confirm_overall")</f>
      </c>
    </row>
    <row r="53">
      <c r="A53" s="67" t="str">
        <f>=HYPERLINK("#'Data'!A232", "nut_edema_overall")</f>
      </c>
    </row>
    <row r="54">
      <c r="A54" s="67" t="str">
        <f>=HYPERLINK("#'Data'!A236", "nut_food_child_consumptions_overall")</f>
      </c>
    </row>
    <row r="55">
      <c r="A55" s="67" t="str">
        <f>=HYPERLINK("#'Data'!A240", "nut_food_child_consumptions_overall_D_by_child_sex")</f>
      </c>
    </row>
    <row r="56">
      <c r="A56" s="67" t="str">
        <f>=HYPERLINK("#'Data'!A245", "nut_muac_cm_overall")</f>
      </c>
    </row>
    <row r="57">
      <c r="A57" s="67" t="str">
        <f>=HYPERLINK("#'Data'!A249", "nut_muac_cm_overall_D_by_age_group_nut")</f>
      </c>
    </row>
    <row r="58">
      <c r="A58" s="67" t="str">
        <f>=HYPERLINK("#'Data'!A254", "nut_muac_cm_overall_D_by_child_sex")</f>
      </c>
    </row>
    <row r="59">
      <c r="A59" s="67" t="str">
        <f>=HYPERLINK("#'Data'!A259", "residency_status_overall")</f>
      </c>
    </row>
    <row r="60">
      <c r="A60" s="67" t="str">
        <f>=HYPERLINK("#'Data'!A263", "respondent_consent_overall")</f>
      </c>
    </row>
    <row r="61">
      <c r="A61" s="67" t="str">
        <f>=HYPERLINK("#'Data'!A267", "sante_mentale_1_overall")</f>
      </c>
    </row>
    <row r="62">
      <c r="A62" s="67" t="str">
        <f>=HYPERLINK("#'Data'!A271", "sante_mentale_2_overall")</f>
      </c>
    </row>
    <row r="63">
      <c r="A63" s="67" t="str">
        <f>=HYPERLINK("#'Data'!A275", "sante_mentale_3_overall")</f>
      </c>
    </row>
    <row r="64">
      <c r="A64" s="67" t="str">
        <f>=HYPERLINK("#'Data'!A279", "sante_mentale_4_overall")</f>
      </c>
    </row>
    <row r="65">
      <c r="A65" s="67" t="str">
        <f>=HYPERLINK("#'Data'!A283", "sante_mentale_5_overall")</f>
      </c>
    </row>
    <row r="66">
      <c r="A66" s="67" t="str">
        <f>=HYPERLINK("#'Data'!A287", "sante_mentale_6_overall")</f>
      </c>
    </row>
    <row r="67">
      <c r="A67" s="67" t="str">
        <f>=HYPERLINK("#'Data'!A291", "shelter_type_overall")</f>
      </c>
    </row>
    <row r="68">
      <c r="A68" s="67" t="str">
        <f>=HYPERLINK("#'Data'!A295", "wash_containers_overall")</f>
      </c>
    </row>
    <row r="69">
      <c r="A69" s="67" t="str">
        <f>=HYPERLINK("#'Data'!A299", "wash_different_water_sources_overall")</f>
      </c>
    </row>
    <row r="70">
      <c r="A70" s="67" t="str">
        <f>=HYPERLINK("#'Data'!A303", "wash_num_containers_overall")</f>
      </c>
    </row>
    <row r="71">
      <c r="A71" s="67" t="str">
        <f>=HYPERLINK("#'Data'!A307", "wash_num_share_toilet_overall")</f>
      </c>
    </row>
    <row r="72">
      <c r="A72" s="67" t="str">
        <f>=HYPERLINK("#'Data'!A311", "wash_other_water_sources_overall")</f>
      </c>
    </row>
    <row r="73">
      <c r="A73" s="67" t="str">
        <f>=HYPERLINK("#'Data'!A315", "wash_share_toilet_facility_overall")</f>
      </c>
    </row>
    <row r="74">
      <c r="A74" s="67" t="str">
        <f>=HYPERLINK("#'Data'!A319", "wash_soap_access_overall")</f>
      </c>
    </row>
    <row r="75">
      <c r="A75" s="67" t="str">
        <f>=HYPERLINK("#'Data'!A323", "wash_toilet_facility_overall")</f>
      </c>
    </row>
    <row r="76">
      <c r="A76" s="67" t="str">
        <f>=HYPERLINK("#'Data'!A327", "wash_water_collect_time_overall")</f>
      </c>
    </row>
    <row r="77">
      <c r="A77" s="67" t="str">
        <f>=HYPERLINK("#'Data'!A331", "wash_water_interuption_num_days_overall")</f>
      </c>
    </row>
    <row r="78">
      <c r="A78" s="67" t="str">
        <f>=HYPERLINK("#'Data'!A335", "wash_water_interuption_overall")</f>
      </c>
    </row>
    <row r="79">
      <c r="A79" s="67" t="str">
        <f>=HYPERLINK("#'Data'!A339", "wash_water_source_overall")</f>
      </c>
    </row>
    <row r="80">
      <c r="A80" s="67" t="str">
        <f>=HYPERLINK("#'Data'!A343", "wash_water_treatment_overall")</f>
      </c>
    </row>
    <row r="81">
      <c r="A81" s="67" t="str">
        <f>=HYPERLINK("#'Data'!A347", "wash_wise_drink_overall")</f>
      </c>
    </row>
    <row r="82">
      <c r="A82" s="67" t="str">
        <f>=HYPERLINK("#'Data'!A351", "wash_wise_hands_overall")</f>
      </c>
    </row>
    <row r="83">
      <c r="A83" s="67" t="str">
        <f>=HYPERLINK("#'Data'!A355", "wash_wise_plans_overall")</f>
      </c>
    </row>
    <row r="84">
      <c r="A84" s="67" t="str">
        <f>=HYPERLINK("#'Data'!A359", "wash_wise_worry_overall")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  <c r="B2" t="s">
        <v>19</v>
      </c>
    </row>
    <row r="3">
      <c r="A3" t="n">
        <v>250</v>
      </c>
      <c r="B3" t="s">
        <v>20</v>
      </c>
    </row>
    <row r="5">
      <c r="A5" t="s">
        <v>21</v>
      </c>
    </row>
    <row r="6">
      <c r="A6" t="s">
        <v>18</v>
      </c>
      <c r="B6" t="s">
        <v>22</v>
      </c>
    </row>
    <row r="7">
      <c r="A7" t="n">
        <v>250</v>
      </c>
      <c r="B7" t="s">
        <v>20</v>
      </c>
    </row>
    <row r="9">
      <c r="A9" t="s">
        <v>23</v>
      </c>
    </row>
    <row r="10">
      <c r="A10" t="s">
        <v>18</v>
      </c>
      <c r="B10" t="s">
        <v>24</v>
      </c>
    </row>
    <row r="11">
      <c r="A11" t="n">
        <v>250</v>
      </c>
      <c r="B11" t="s">
        <v>20</v>
      </c>
    </row>
    <row r="13">
      <c r="A13" t="s">
        <v>25</v>
      </c>
    </row>
    <row r="14">
      <c r="A14" t="s">
        <v>18</v>
      </c>
      <c r="B14" t="s">
        <v>24</v>
      </c>
    </row>
    <row r="15">
      <c r="A15" t="n">
        <v>250</v>
      </c>
      <c r="B15" t="s">
        <v>20</v>
      </c>
    </row>
    <row r="17">
      <c r="A17" t="s">
        <v>26</v>
      </c>
    </row>
    <row r="18">
      <c r="A18" t="s">
        <v>18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</row>
    <row r="19">
      <c r="A19" t="n">
        <v>1777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</row>
    <row r="21">
      <c r="A21" t="s">
        <v>39</v>
      </c>
    </row>
    <row r="22">
      <c r="A22" t="s">
        <v>18</v>
      </c>
      <c r="B22" t="s">
        <v>40</v>
      </c>
      <c r="C22" t="s">
        <v>41</v>
      </c>
      <c r="D22" t="s">
        <v>42</v>
      </c>
      <c r="E22" t="s">
        <v>43</v>
      </c>
    </row>
    <row r="23">
      <c r="A23" t="n">
        <v>1777</v>
      </c>
      <c r="B23" t="n">
        <v>17.24</v>
      </c>
      <c r="C23" t="n">
        <v>12</v>
      </c>
      <c r="D23" t="n">
        <v>0</v>
      </c>
      <c r="E23" t="n">
        <v>90</v>
      </c>
    </row>
    <row r="25">
      <c r="A25" t="s">
        <v>44</v>
      </c>
    </row>
    <row r="26">
      <c r="A26" t="s">
        <v>18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  <c r="J26" t="s">
        <v>53</v>
      </c>
    </row>
    <row r="27">
      <c r="A27" t="n">
        <v>250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57</v>
      </c>
      <c r="I27" t="s">
        <v>60</v>
      </c>
      <c r="J27" t="s">
        <v>61</v>
      </c>
    </row>
    <row r="29">
      <c r="A29" t="s">
        <v>62</v>
      </c>
    </row>
    <row r="30">
      <c r="A30" t="s">
        <v>18</v>
      </c>
      <c r="B30" t="s">
        <v>63</v>
      </c>
      <c r="C30" t="s">
        <v>64</v>
      </c>
      <c r="D30" t="s">
        <v>65</v>
      </c>
      <c r="E30" t="s">
        <v>66</v>
      </c>
      <c r="F30" t="s">
        <v>67</v>
      </c>
    </row>
    <row r="31">
      <c r="A31" t="n">
        <v>250</v>
      </c>
      <c r="B31" t="s">
        <v>68</v>
      </c>
      <c r="C31" t="s">
        <v>69</v>
      </c>
      <c r="D31" t="s">
        <v>70</v>
      </c>
      <c r="E31" t="s">
        <v>71</v>
      </c>
      <c r="F31" t="s">
        <v>72</v>
      </c>
    </row>
    <row r="33">
      <c r="A33" t="s">
        <v>73</v>
      </c>
    </row>
    <row r="34">
      <c r="A34" t="s">
        <v>18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</row>
    <row r="35">
      <c r="A35" t="n">
        <v>250</v>
      </c>
      <c r="B35" t="s">
        <v>81</v>
      </c>
      <c r="C35" t="s">
        <v>82</v>
      </c>
      <c r="D35" t="s">
        <v>83</v>
      </c>
      <c r="E35" t="s">
        <v>84</v>
      </c>
      <c r="F35" t="s">
        <v>72</v>
      </c>
      <c r="G35" t="s">
        <v>70</v>
      </c>
      <c r="H35" t="s">
        <v>85</v>
      </c>
    </row>
    <row r="37">
      <c r="A37" t="s">
        <v>86</v>
      </c>
    </row>
    <row r="38">
      <c r="A38" t="s">
        <v>18</v>
      </c>
      <c r="B38" t="s">
        <v>87</v>
      </c>
      <c r="C38" t="s">
        <v>88</v>
      </c>
      <c r="D38" t="s">
        <v>89</v>
      </c>
      <c r="E38" t="s">
        <v>90</v>
      </c>
      <c r="F38" t="s">
        <v>91</v>
      </c>
    </row>
    <row r="39">
      <c r="A39" t="n">
        <v>250</v>
      </c>
      <c r="B39" t="s">
        <v>92</v>
      </c>
      <c r="C39" t="s">
        <v>58</v>
      </c>
      <c r="D39" t="s">
        <v>93</v>
      </c>
      <c r="E39" t="s">
        <v>60</v>
      </c>
      <c r="F39" t="s">
        <v>57</v>
      </c>
    </row>
    <row r="41">
      <c r="A41" t="s">
        <v>94</v>
      </c>
    </row>
    <row r="42">
      <c r="A42" t="s">
        <v>18</v>
      </c>
      <c r="B42" t="s">
        <v>95</v>
      </c>
      <c r="C42" t="s">
        <v>96</v>
      </c>
      <c r="D42" t="s">
        <v>97</v>
      </c>
      <c r="E42" t="s">
        <v>98</v>
      </c>
      <c r="F42" t="s">
        <v>99</v>
      </c>
      <c r="G42" t="s">
        <v>100</v>
      </c>
      <c r="H42" t="s">
        <v>101</v>
      </c>
      <c r="I42" t="s">
        <v>102</v>
      </c>
    </row>
    <row r="43">
      <c r="A43" t="n">
        <v>250</v>
      </c>
      <c r="B43" t="s">
        <v>103</v>
      </c>
      <c r="C43" t="s">
        <v>59</v>
      </c>
      <c r="D43" t="s">
        <v>104</v>
      </c>
      <c r="E43" t="s">
        <v>59</v>
      </c>
      <c r="F43" t="s">
        <v>105</v>
      </c>
      <c r="G43" t="s">
        <v>56</v>
      </c>
      <c r="H43" t="s">
        <v>106</v>
      </c>
      <c r="I43" t="s">
        <v>107</v>
      </c>
    </row>
    <row r="45">
      <c r="A45" t="s">
        <v>108</v>
      </c>
    </row>
    <row r="46">
      <c r="A46" t="s">
        <v>18</v>
      </c>
      <c r="B46" t="s">
        <v>109</v>
      </c>
      <c r="C46" t="s">
        <v>110</v>
      </c>
      <c r="D46" t="s">
        <v>111</v>
      </c>
      <c r="E46" t="s">
        <v>112</v>
      </c>
      <c r="F46" t="s">
        <v>113</v>
      </c>
      <c r="G46" t="s">
        <v>114</v>
      </c>
      <c r="H46" t="s">
        <v>115</v>
      </c>
      <c r="I46" t="s">
        <v>116</v>
      </c>
      <c r="J46" t="s">
        <v>117</v>
      </c>
      <c r="K46" t="s">
        <v>118</v>
      </c>
    </row>
    <row r="47">
      <c r="A47" t="n">
        <v>250</v>
      </c>
      <c r="B47" t="s">
        <v>119</v>
      </c>
      <c r="C47" t="s">
        <v>104</v>
      </c>
      <c r="D47" t="s">
        <v>120</v>
      </c>
      <c r="E47" t="s">
        <v>121</v>
      </c>
      <c r="F47" t="s">
        <v>105</v>
      </c>
      <c r="G47" t="s">
        <v>122</v>
      </c>
      <c r="H47" t="s">
        <v>56</v>
      </c>
      <c r="I47" t="s">
        <v>123</v>
      </c>
      <c r="J47" t="s">
        <v>123</v>
      </c>
      <c r="K47" t="s">
        <v>56</v>
      </c>
    </row>
    <row r="49">
      <c r="A49" t="s">
        <v>124</v>
      </c>
    </row>
    <row r="50">
      <c r="A50" t="s">
        <v>18</v>
      </c>
      <c r="B50" t="s">
        <v>125</v>
      </c>
      <c r="C50" t="s">
        <v>126</v>
      </c>
      <c r="D50" t="s">
        <v>127</v>
      </c>
      <c r="E50" t="s">
        <v>128</v>
      </c>
      <c r="F50" t="s">
        <v>129</v>
      </c>
      <c r="G50" t="s">
        <v>130</v>
      </c>
      <c r="H50" t="s">
        <v>131</v>
      </c>
    </row>
    <row r="51">
      <c r="A51" t="n">
        <v>250</v>
      </c>
      <c r="B51" t="s">
        <v>56</v>
      </c>
      <c r="C51" t="s">
        <v>59</v>
      </c>
      <c r="D51" t="s">
        <v>132</v>
      </c>
      <c r="E51" t="s">
        <v>133</v>
      </c>
      <c r="F51" t="s">
        <v>59</v>
      </c>
      <c r="G51" t="s">
        <v>134</v>
      </c>
      <c r="H51" t="s">
        <v>135</v>
      </c>
    </row>
    <row r="53">
      <c r="A53" t="s">
        <v>136</v>
      </c>
    </row>
    <row r="54">
      <c r="A54" t="s">
        <v>18</v>
      </c>
      <c r="B54" t="s">
        <v>95</v>
      </c>
      <c r="C54" t="s">
        <v>96</v>
      </c>
      <c r="D54" t="s">
        <v>97</v>
      </c>
      <c r="E54" t="s">
        <v>98</v>
      </c>
      <c r="F54" t="s">
        <v>99</v>
      </c>
      <c r="G54" t="s">
        <v>100</v>
      </c>
      <c r="H54" t="s">
        <v>101</v>
      </c>
      <c r="I54" t="s">
        <v>102</v>
      </c>
    </row>
    <row r="55">
      <c r="A55" t="n">
        <v>250</v>
      </c>
      <c r="B55" t="s">
        <v>137</v>
      </c>
      <c r="C55" t="s">
        <v>122</v>
      </c>
      <c r="D55" t="s">
        <v>36</v>
      </c>
      <c r="E55" t="s">
        <v>138</v>
      </c>
      <c r="F55" t="s">
        <v>139</v>
      </c>
      <c r="G55" t="s">
        <v>140</v>
      </c>
      <c r="H55" t="s">
        <v>60</v>
      </c>
      <c r="I55" t="s">
        <v>134</v>
      </c>
    </row>
    <row r="57">
      <c r="A57" t="s">
        <v>141</v>
      </c>
    </row>
    <row r="58">
      <c r="A58" t="s">
        <v>18</v>
      </c>
      <c r="B58" t="s">
        <v>95</v>
      </c>
      <c r="C58" t="s">
        <v>96</v>
      </c>
      <c r="D58" t="s">
        <v>97</v>
      </c>
      <c r="E58" t="s">
        <v>98</v>
      </c>
      <c r="F58" t="s">
        <v>99</v>
      </c>
      <c r="G58" t="s">
        <v>100</v>
      </c>
      <c r="H58" t="s">
        <v>101</v>
      </c>
      <c r="I58" t="s">
        <v>102</v>
      </c>
    </row>
    <row r="59">
      <c r="A59" t="n">
        <v>250</v>
      </c>
      <c r="B59" t="s">
        <v>61</v>
      </c>
      <c r="C59" t="s">
        <v>142</v>
      </c>
      <c r="D59" t="s">
        <v>36</v>
      </c>
      <c r="E59" t="s">
        <v>85</v>
      </c>
      <c r="F59" t="s">
        <v>143</v>
      </c>
      <c r="G59" t="s">
        <v>144</v>
      </c>
      <c r="H59" t="s">
        <v>81</v>
      </c>
      <c r="I59" t="s">
        <v>145</v>
      </c>
    </row>
    <row r="61">
      <c r="A61" t="s">
        <v>146</v>
      </c>
    </row>
    <row r="62">
      <c r="A62" t="s">
        <v>18</v>
      </c>
      <c r="B62" t="s">
        <v>147</v>
      </c>
      <c r="C62" t="s">
        <v>148</v>
      </c>
      <c r="D62" t="s">
        <v>149</v>
      </c>
      <c r="E62" t="s">
        <v>150</v>
      </c>
    </row>
    <row r="63">
      <c r="A63" t="n">
        <v>250</v>
      </c>
      <c r="B63" t="s">
        <v>105</v>
      </c>
      <c r="C63" t="s">
        <v>151</v>
      </c>
      <c r="D63" t="s">
        <v>152</v>
      </c>
      <c r="E63" t="s">
        <v>153</v>
      </c>
    </row>
    <row r="65">
      <c r="A65" t="s">
        <v>154</v>
      </c>
    </row>
    <row r="66">
      <c r="A66" t="s">
        <v>18</v>
      </c>
      <c r="B66" t="s">
        <v>155</v>
      </c>
      <c r="C66" t="s">
        <v>156</v>
      </c>
      <c r="D66" t="s">
        <v>157</v>
      </c>
      <c r="E66" t="s">
        <v>158</v>
      </c>
      <c r="F66" t="s">
        <v>159</v>
      </c>
      <c r="G66" t="s">
        <v>160</v>
      </c>
      <c r="H66" t="s">
        <v>161</v>
      </c>
      <c r="I66" t="s">
        <v>162</v>
      </c>
      <c r="J66" t="s">
        <v>163</v>
      </c>
      <c r="K66" t="s">
        <v>164</v>
      </c>
      <c r="L66" t="s">
        <v>165</v>
      </c>
      <c r="M66" t="s">
        <v>166</v>
      </c>
      <c r="N66" t="s">
        <v>167</v>
      </c>
      <c r="O66" t="s">
        <v>168</v>
      </c>
      <c r="P66" t="s">
        <v>169</v>
      </c>
      <c r="Q66" t="s">
        <v>170</v>
      </c>
      <c r="R66" t="s">
        <v>171</v>
      </c>
      <c r="S66" t="s">
        <v>172</v>
      </c>
      <c r="T66" t="s">
        <v>173</v>
      </c>
      <c r="U66" t="s">
        <v>174</v>
      </c>
      <c r="V66" t="s">
        <v>175</v>
      </c>
      <c r="W66" t="s">
        <v>176</v>
      </c>
      <c r="X66" t="s">
        <v>177</v>
      </c>
      <c r="Y66" t="s">
        <v>178</v>
      </c>
      <c r="Z66" t="s">
        <v>117</v>
      </c>
      <c r="AA66" t="s">
        <v>118</v>
      </c>
      <c r="AB66" t="s">
        <v>179</v>
      </c>
    </row>
    <row r="67">
      <c r="A67" t="n">
        <v>250</v>
      </c>
      <c r="B67" t="s">
        <v>151</v>
      </c>
      <c r="C67" t="s">
        <v>134</v>
      </c>
      <c r="D67" t="s">
        <v>123</v>
      </c>
      <c r="E67" t="s">
        <v>180</v>
      </c>
      <c r="F67" t="s">
        <v>181</v>
      </c>
      <c r="G67" t="s">
        <v>106</v>
      </c>
      <c r="H67" t="s">
        <v>139</v>
      </c>
      <c r="I67" t="s">
        <v>83</v>
      </c>
      <c r="J67" t="s">
        <v>104</v>
      </c>
      <c r="K67" t="s">
        <v>105</v>
      </c>
      <c r="L67" t="s">
        <v>59</v>
      </c>
      <c r="M67" t="s">
        <v>105</v>
      </c>
      <c r="N67" t="s">
        <v>123</v>
      </c>
      <c r="O67" t="s">
        <v>123</v>
      </c>
      <c r="P67" t="s">
        <v>123</v>
      </c>
      <c r="Q67" t="s">
        <v>123</v>
      </c>
      <c r="R67" t="s">
        <v>123</v>
      </c>
      <c r="S67" t="s">
        <v>123</v>
      </c>
      <c r="T67" t="s">
        <v>123</v>
      </c>
      <c r="U67" t="s">
        <v>56</v>
      </c>
      <c r="V67" t="s">
        <v>123</v>
      </c>
      <c r="W67" t="s">
        <v>123</v>
      </c>
      <c r="X67" t="s">
        <v>123</v>
      </c>
      <c r="Y67" t="s">
        <v>123</v>
      </c>
      <c r="Z67" t="s">
        <v>123</v>
      </c>
      <c r="AA67" t="s">
        <v>123</v>
      </c>
      <c r="AB67" t="s">
        <v>144</v>
      </c>
    </row>
    <row r="69">
      <c r="A69" t="s">
        <v>182</v>
      </c>
    </row>
    <row r="70">
      <c r="A70" t="s">
        <v>183</v>
      </c>
      <c r="B70" t="s">
        <v>18</v>
      </c>
      <c r="C70" t="s">
        <v>155</v>
      </c>
      <c r="D70" t="s">
        <v>156</v>
      </c>
      <c r="E70" t="s">
        <v>157</v>
      </c>
      <c r="F70" t="s">
        <v>158</v>
      </c>
      <c r="G70" t="s">
        <v>159</v>
      </c>
      <c r="H70" t="s">
        <v>160</v>
      </c>
      <c r="I70" t="s">
        <v>161</v>
      </c>
      <c r="J70" t="s">
        <v>162</v>
      </c>
      <c r="K70" t="s">
        <v>163</v>
      </c>
      <c r="L70" t="s">
        <v>164</v>
      </c>
      <c r="M70" t="s">
        <v>165</v>
      </c>
      <c r="N70" t="s">
        <v>166</v>
      </c>
      <c r="O70" t="s">
        <v>167</v>
      </c>
      <c r="P70" t="s">
        <v>168</v>
      </c>
      <c r="Q70" t="s">
        <v>169</v>
      </c>
      <c r="R70" t="s">
        <v>170</v>
      </c>
      <c r="S70" t="s">
        <v>171</v>
      </c>
      <c r="T70" t="s">
        <v>172</v>
      </c>
      <c r="U70" t="s">
        <v>173</v>
      </c>
      <c r="V70" t="s">
        <v>174</v>
      </c>
      <c r="W70" t="s">
        <v>175</v>
      </c>
      <c r="X70" t="s">
        <v>176</v>
      </c>
      <c r="Y70" t="s">
        <v>177</v>
      </c>
      <c r="Z70" t="s">
        <v>178</v>
      </c>
      <c r="AA70" t="s">
        <v>117</v>
      </c>
      <c r="AB70" t="s">
        <v>118</v>
      </c>
      <c r="AC70" t="s">
        <v>179</v>
      </c>
    </row>
    <row r="71">
      <c r="A71" t="s">
        <v>184</v>
      </c>
      <c r="B71" t="n">
        <v>250</v>
      </c>
      <c r="C71" t="s">
        <v>151</v>
      </c>
      <c r="D71" t="s">
        <v>134</v>
      </c>
      <c r="E71" t="s">
        <v>123</v>
      </c>
      <c r="F71" t="s">
        <v>180</v>
      </c>
      <c r="G71" t="s">
        <v>181</v>
      </c>
      <c r="H71" t="s">
        <v>106</v>
      </c>
      <c r="I71" t="s">
        <v>139</v>
      </c>
      <c r="J71" t="s">
        <v>83</v>
      </c>
      <c r="K71" t="s">
        <v>104</v>
      </c>
      <c r="L71" t="s">
        <v>105</v>
      </c>
      <c r="M71" t="s">
        <v>59</v>
      </c>
      <c r="N71" t="s">
        <v>105</v>
      </c>
      <c r="O71" t="s">
        <v>123</v>
      </c>
      <c r="P71" t="s">
        <v>123</v>
      </c>
      <c r="Q71" t="s">
        <v>123</v>
      </c>
      <c r="R71" t="s">
        <v>123</v>
      </c>
      <c r="S71" t="s">
        <v>123</v>
      </c>
      <c r="T71" t="s">
        <v>123</v>
      </c>
      <c r="U71" t="s">
        <v>123</v>
      </c>
      <c r="V71" t="s">
        <v>56</v>
      </c>
      <c r="W71" t="s">
        <v>123</v>
      </c>
      <c r="X71" t="s">
        <v>123</v>
      </c>
      <c r="Y71" t="s">
        <v>123</v>
      </c>
      <c r="Z71" t="s">
        <v>123</v>
      </c>
      <c r="AA71" t="s">
        <v>123</v>
      </c>
      <c r="AB71" t="s">
        <v>123</v>
      </c>
      <c r="AC71" t="s">
        <v>144</v>
      </c>
    </row>
    <row r="73">
      <c r="A73" t="s">
        <v>185</v>
      </c>
    </row>
    <row r="74">
      <c r="A74" t="s">
        <v>186</v>
      </c>
      <c r="B74" t="s">
        <v>18</v>
      </c>
      <c r="C74" t="s">
        <v>155</v>
      </c>
      <c r="D74" t="s">
        <v>156</v>
      </c>
      <c r="E74" t="s">
        <v>157</v>
      </c>
      <c r="F74" t="s">
        <v>158</v>
      </c>
      <c r="G74" t="s">
        <v>159</v>
      </c>
      <c r="H74" t="s">
        <v>160</v>
      </c>
      <c r="I74" t="s">
        <v>161</v>
      </c>
      <c r="J74" t="s">
        <v>162</v>
      </c>
      <c r="K74" t="s">
        <v>163</v>
      </c>
      <c r="L74" t="s">
        <v>164</v>
      </c>
      <c r="M74" t="s">
        <v>165</v>
      </c>
      <c r="N74" t="s">
        <v>166</v>
      </c>
      <c r="O74" t="s">
        <v>167</v>
      </c>
      <c r="P74" t="s">
        <v>168</v>
      </c>
      <c r="Q74" t="s">
        <v>169</v>
      </c>
      <c r="R74" t="s">
        <v>170</v>
      </c>
      <c r="S74" t="s">
        <v>171</v>
      </c>
      <c r="T74" t="s">
        <v>172</v>
      </c>
      <c r="U74" t="s">
        <v>173</v>
      </c>
      <c r="V74" t="s">
        <v>174</v>
      </c>
      <c r="W74" t="s">
        <v>175</v>
      </c>
      <c r="X74" t="s">
        <v>176</v>
      </c>
      <c r="Y74" t="s">
        <v>177</v>
      </c>
      <c r="Z74" t="s">
        <v>178</v>
      </c>
      <c r="AA74" t="s">
        <v>117</v>
      </c>
      <c r="AB74" t="s">
        <v>118</v>
      </c>
      <c r="AC74" t="s">
        <v>179</v>
      </c>
    </row>
    <row r="75">
      <c r="A75" t="s">
        <v>187</v>
      </c>
      <c r="B75" t="n">
        <v>66</v>
      </c>
      <c r="C75" t="s">
        <v>123</v>
      </c>
      <c r="D75" t="s">
        <v>188</v>
      </c>
      <c r="E75" t="s">
        <v>123</v>
      </c>
      <c r="F75" t="s">
        <v>189</v>
      </c>
      <c r="G75" t="s">
        <v>189</v>
      </c>
      <c r="H75" t="s">
        <v>190</v>
      </c>
      <c r="I75" t="s">
        <v>188</v>
      </c>
      <c r="J75" t="s">
        <v>191</v>
      </c>
      <c r="K75" t="s">
        <v>192</v>
      </c>
      <c r="L75" t="s">
        <v>123</v>
      </c>
      <c r="M75" t="s">
        <v>190</v>
      </c>
      <c r="N75" t="s">
        <v>190</v>
      </c>
      <c r="O75" t="s">
        <v>123</v>
      </c>
      <c r="P75" t="s">
        <v>123</v>
      </c>
      <c r="Q75" t="s">
        <v>123</v>
      </c>
      <c r="R75" t="s">
        <v>123</v>
      </c>
      <c r="S75" t="s">
        <v>123</v>
      </c>
      <c r="T75" t="s">
        <v>123</v>
      </c>
      <c r="U75" t="s">
        <v>123</v>
      </c>
      <c r="V75" t="s">
        <v>190</v>
      </c>
      <c r="W75" t="s">
        <v>123</v>
      </c>
      <c r="X75" t="s">
        <v>123</v>
      </c>
      <c r="Y75" t="s">
        <v>123</v>
      </c>
      <c r="Z75" t="s">
        <v>123</v>
      </c>
      <c r="AA75" t="s">
        <v>123</v>
      </c>
      <c r="AB75" t="s">
        <v>123</v>
      </c>
      <c r="AC75" t="s">
        <v>123</v>
      </c>
    </row>
    <row r="76">
      <c r="A76" t="s">
        <v>193</v>
      </c>
      <c r="B76" t="n">
        <v>184</v>
      </c>
      <c r="C76" t="s">
        <v>194</v>
      </c>
      <c r="D76" t="s">
        <v>195</v>
      </c>
      <c r="E76" t="s">
        <v>123</v>
      </c>
      <c r="F76" t="s">
        <v>196</v>
      </c>
      <c r="G76" t="s">
        <v>197</v>
      </c>
      <c r="H76" t="s">
        <v>106</v>
      </c>
      <c r="I76" t="s">
        <v>72</v>
      </c>
      <c r="J76" t="s">
        <v>198</v>
      </c>
      <c r="K76" t="s">
        <v>199</v>
      </c>
      <c r="L76" t="s">
        <v>106</v>
      </c>
      <c r="M76" t="s">
        <v>200</v>
      </c>
      <c r="N76" t="s">
        <v>201</v>
      </c>
      <c r="O76" t="s">
        <v>123</v>
      </c>
      <c r="P76" t="s">
        <v>123</v>
      </c>
      <c r="Q76" t="s">
        <v>123</v>
      </c>
      <c r="R76" t="s">
        <v>123</v>
      </c>
      <c r="S76" t="s">
        <v>123</v>
      </c>
      <c r="T76" t="s">
        <v>123</v>
      </c>
      <c r="U76" t="s">
        <v>123</v>
      </c>
      <c r="V76" t="s">
        <v>123</v>
      </c>
      <c r="W76" t="s">
        <v>123</v>
      </c>
      <c r="X76" t="s">
        <v>123</v>
      </c>
      <c r="Y76" t="s">
        <v>123</v>
      </c>
      <c r="Z76" t="s">
        <v>123</v>
      </c>
      <c r="AA76" t="s">
        <v>123</v>
      </c>
      <c r="AB76" t="s">
        <v>123</v>
      </c>
      <c r="AC76" t="s">
        <v>139</v>
      </c>
    </row>
    <row r="78">
      <c r="A78" t="s">
        <v>202</v>
      </c>
    </row>
    <row r="79">
      <c r="A79" t="s">
        <v>18</v>
      </c>
      <c r="B79" t="s">
        <v>203</v>
      </c>
      <c r="C79" t="s">
        <v>204</v>
      </c>
    </row>
    <row r="80">
      <c r="A80" t="n">
        <v>250</v>
      </c>
      <c r="B80" t="s">
        <v>205</v>
      </c>
      <c r="C80" t="s">
        <v>206</v>
      </c>
    </row>
    <row r="82">
      <c r="A82" t="s">
        <v>207</v>
      </c>
    </row>
    <row r="83">
      <c r="A83" t="s">
        <v>183</v>
      </c>
      <c r="B83" t="s">
        <v>18</v>
      </c>
      <c r="C83" t="s">
        <v>203</v>
      </c>
      <c r="D83" t="s">
        <v>204</v>
      </c>
    </row>
    <row r="84">
      <c r="A84" t="s">
        <v>184</v>
      </c>
      <c r="B84" t="n">
        <v>250</v>
      </c>
      <c r="C84" t="s">
        <v>205</v>
      </c>
      <c r="D84" t="s">
        <v>206</v>
      </c>
    </row>
    <row r="86">
      <c r="A86" t="s">
        <v>208</v>
      </c>
    </row>
    <row r="87">
      <c r="A87" t="s">
        <v>18</v>
      </c>
      <c r="B87" t="s">
        <v>203</v>
      </c>
      <c r="C87" t="s">
        <v>209</v>
      </c>
      <c r="D87" t="s">
        <v>210</v>
      </c>
      <c r="E87" t="s">
        <v>118</v>
      </c>
    </row>
    <row r="88">
      <c r="A88" t="n">
        <v>1581</v>
      </c>
      <c r="B88" t="s">
        <v>33</v>
      </c>
      <c r="C88" t="s">
        <v>211</v>
      </c>
      <c r="D88" t="s">
        <v>212</v>
      </c>
      <c r="E88" t="s">
        <v>213</v>
      </c>
    </row>
    <row r="90">
      <c r="A90" t="s">
        <v>214</v>
      </c>
    </row>
    <row r="91">
      <c r="A91" t="s">
        <v>215</v>
      </c>
      <c r="B91" t="s">
        <v>18</v>
      </c>
      <c r="C91" t="s">
        <v>203</v>
      </c>
      <c r="D91" t="s">
        <v>209</v>
      </c>
      <c r="E91" t="s">
        <v>210</v>
      </c>
      <c r="F91" t="s">
        <v>118</v>
      </c>
    </row>
    <row r="92">
      <c r="A92" t="s">
        <v>27</v>
      </c>
      <c r="B92" t="n">
        <v>85</v>
      </c>
      <c r="C92" t="s">
        <v>216</v>
      </c>
      <c r="D92" t="s">
        <v>217</v>
      </c>
      <c r="E92" t="s">
        <v>218</v>
      </c>
      <c r="F92" t="s">
        <v>123</v>
      </c>
    </row>
    <row r="93">
      <c r="A93" t="s">
        <v>28</v>
      </c>
      <c r="B93" t="n">
        <v>243</v>
      </c>
      <c r="C93" t="s">
        <v>85</v>
      </c>
      <c r="D93" t="s">
        <v>219</v>
      </c>
      <c r="E93" t="s">
        <v>220</v>
      </c>
      <c r="F93" t="s">
        <v>123</v>
      </c>
    </row>
    <row r="94">
      <c r="A94" t="s">
        <v>29</v>
      </c>
      <c r="B94" t="n">
        <v>304</v>
      </c>
      <c r="C94" t="s">
        <v>221</v>
      </c>
      <c r="D94" t="s">
        <v>222</v>
      </c>
      <c r="E94" t="s">
        <v>223</v>
      </c>
      <c r="F94" t="s">
        <v>123</v>
      </c>
    </row>
    <row r="95">
      <c r="A95" t="s">
        <v>30</v>
      </c>
      <c r="B95" t="n">
        <v>292</v>
      </c>
      <c r="C95" t="s">
        <v>224</v>
      </c>
      <c r="D95" t="s">
        <v>225</v>
      </c>
      <c r="E95" t="s">
        <v>226</v>
      </c>
      <c r="F95" t="s">
        <v>227</v>
      </c>
    </row>
    <row r="96">
      <c r="A96" t="s">
        <v>31</v>
      </c>
      <c r="B96" t="n">
        <v>612</v>
      </c>
      <c r="C96" t="s">
        <v>138</v>
      </c>
      <c r="D96" t="s">
        <v>190</v>
      </c>
      <c r="E96" t="s">
        <v>228</v>
      </c>
      <c r="F96" t="s">
        <v>229</v>
      </c>
    </row>
    <row r="97">
      <c r="A97" t="s">
        <v>32</v>
      </c>
      <c r="B97" t="n">
        <v>45</v>
      </c>
      <c r="C97" t="s">
        <v>230</v>
      </c>
      <c r="D97" t="s">
        <v>123</v>
      </c>
      <c r="E97" t="s">
        <v>231</v>
      </c>
      <c r="F97" t="s">
        <v>232</v>
      </c>
    </row>
    <row r="99">
      <c r="A99" t="s">
        <v>233</v>
      </c>
    </row>
    <row r="100">
      <c r="A100" t="s">
        <v>234</v>
      </c>
      <c r="B100" t="s">
        <v>18</v>
      </c>
      <c r="C100" t="s">
        <v>203</v>
      </c>
      <c r="D100" t="s">
        <v>209</v>
      </c>
      <c r="E100" t="s">
        <v>210</v>
      </c>
      <c r="F100" t="s">
        <v>118</v>
      </c>
    </row>
    <row r="101">
      <c r="A101" t="s">
        <v>235</v>
      </c>
      <c r="B101" t="n">
        <v>834</v>
      </c>
      <c r="C101" t="s">
        <v>236</v>
      </c>
      <c r="D101" t="s">
        <v>225</v>
      </c>
      <c r="E101" t="s">
        <v>237</v>
      </c>
      <c r="F101" t="s">
        <v>140</v>
      </c>
    </row>
    <row r="102">
      <c r="A102" t="s">
        <v>238</v>
      </c>
      <c r="B102" t="n">
        <v>747</v>
      </c>
      <c r="C102" t="s">
        <v>239</v>
      </c>
      <c r="D102" t="s">
        <v>240</v>
      </c>
      <c r="E102" t="s">
        <v>241</v>
      </c>
      <c r="F102" t="s">
        <v>242</v>
      </c>
    </row>
    <row r="104">
      <c r="A104" t="s">
        <v>243</v>
      </c>
    </row>
    <row r="105">
      <c r="A105" t="s">
        <v>18</v>
      </c>
      <c r="B105" t="s">
        <v>244</v>
      </c>
      <c r="C105" t="s">
        <v>245</v>
      </c>
      <c r="D105" t="s">
        <v>246</v>
      </c>
      <c r="E105" t="s">
        <v>247</v>
      </c>
      <c r="F105" t="s">
        <v>248</v>
      </c>
      <c r="G105" t="s">
        <v>249</v>
      </c>
      <c r="H105" t="s">
        <v>250</v>
      </c>
      <c r="I105" t="s">
        <v>251</v>
      </c>
      <c r="J105" t="s">
        <v>252</v>
      </c>
      <c r="K105" t="s">
        <v>253</v>
      </c>
      <c r="L105" t="s">
        <v>254</v>
      </c>
      <c r="M105" t="s">
        <v>255</v>
      </c>
      <c r="N105" t="s">
        <v>256</v>
      </c>
      <c r="O105" t="s">
        <v>116</v>
      </c>
      <c r="P105" t="s">
        <v>117</v>
      </c>
      <c r="Q105" t="s">
        <v>118</v>
      </c>
    </row>
    <row r="106">
      <c r="A106" t="n">
        <v>176</v>
      </c>
      <c r="B106" t="s">
        <v>123</v>
      </c>
      <c r="C106" t="s">
        <v>257</v>
      </c>
      <c r="D106" t="s">
        <v>35</v>
      </c>
      <c r="E106" t="s">
        <v>258</v>
      </c>
      <c r="F106" t="s">
        <v>259</v>
      </c>
      <c r="G106" t="s">
        <v>123</v>
      </c>
      <c r="H106" t="s">
        <v>123</v>
      </c>
      <c r="I106" t="s">
        <v>257</v>
      </c>
      <c r="J106" t="s">
        <v>123</v>
      </c>
      <c r="K106" t="s">
        <v>123</v>
      </c>
      <c r="L106" t="s">
        <v>123</v>
      </c>
      <c r="M106" t="s">
        <v>260</v>
      </c>
      <c r="N106" t="s">
        <v>201</v>
      </c>
      <c r="O106" t="s">
        <v>123</v>
      </c>
      <c r="P106" t="s">
        <v>123</v>
      </c>
      <c r="Q106" t="s">
        <v>123</v>
      </c>
    </row>
    <row r="108">
      <c r="A108" t="s">
        <v>261</v>
      </c>
    </row>
    <row r="109">
      <c r="A109" t="s">
        <v>18</v>
      </c>
      <c r="B109" t="s">
        <v>203</v>
      </c>
      <c r="C109" t="s">
        <v>204</v>
      </c>
    </row>
    <row r="110">
      <c r="A110" t="n">
        <v>1776</v>
      </c>
      <c r="B110" t="s">
        <v>262</v>
      </c>
      <c r="C110" t="s">
        <v>263</v>
      </c>
    </row>
    <row r="112">
      <c r="A112" t="s">
        <v>264</v>
      </c>
    </row>
    <row r="113">
      <c r="A113" t="s">
        <v>215</v>
      </c>
      <c r="B113" t="s">
        <v>18</v>
      </c>
      <c r="C113" t="s">
        <v>203</v>
      </c>
      <c r="D113" t="s">
        <v>204</v>
      </c>
    </row>
    <row r="114">
      <c r="A114" t="s">
        <v>27</v>
      </c>
      <c r="B114" t="n">
        <v>280</v>
      </c>
      <c r="C114" t="s">
        <v>265</v>
      </c>
      <c r="D114" t="s">
        <v>266</v>
      </c>
    </row>
    <row r="115">
      <c r="A115" t="s">
        <v>28</v>
      </c>
      <c r="B115" t="n">
        <v>243</v>
      </c>
      <c r="C115" t="s">
        <v>267</v>
      </c>
      <c r="D115" t="s">
        <v>268</v>
      </c>
    </row>
    <row r="116">
      <c r="A116" t="s">
        <v>29</v>
      </c>
      <c r="B116" t="n">
        <v>304</v>
      </c>
      <c r="C116" t="s">
        <v>269</v>
      </c>
      <c r="D116" t="s">
        <v>198</v>
      </c>
    </row>
    <row r="117">
      <c r="A117" t="s">
        <v>30</v>
      </c>
      <c r="B117" t="n">
        <v>292</v>
      </c>
      <c r="C117" t="s">
        <v>270</v>
      </c>
      <c r="D117" t="s">
        <v>271</v>
      </c>
    </row>
    <row r="118">
      <c r="A118" t="s">
        <v>31</v>
      </c>
      <c r="B118" t="n">
        <v>612</v>
      </c>
      <c r="C118" t="s">
        <v>272</v>
      </c>
      <c r="D118" t="s">
        <v>273</v>
      </c>
    </row>
    <row r="119">
      <c r="A119" t="s">
        <v>32</v>
      </c>
      <c r="B119" t="n">
        <v>45</v>
      </c>
      <c r="C119" t="s">
        <v>274</v>
      </c>
      <c r="D119" t="s">
        <v>275</v>
      </c>
    </row>
    <row r="121">
      <c r="A121" t="s">
        <v>276</v>
      </c>
    </row>
    <row r="122">
      <c r="A122" t="s">
        <v>234</v>
      </c>
      <c r="B122" t="s">
        <v>18</v>
      </c>
      <c r="C122" t="s">
        <v>203</v>
      </c>
      <c r="D122" t="s">
        <v>204</v>
      </c>
    </row>
    <row r="123">
      <c r="A123" t="s">
        <v>235</v>
      </c>
      <c r="B123" t="n">
        <v>935</v>
      </c>
      <c r="C123" t="s">
        <v>277</v>
      </c>
      <c r="D123" t="s">
        <v>278</v>
      </c>
    </row>
    <row r="124">
      <c r="A124" t="s">
        <v>238</v>
      </c>
      <c r="B124" t="n">
        <v>841</v>
      </c>
      <c r="C124" t="s">
        <v>279</v>
      </c>
      <c r="D124" t="s">
        <v>280</v>
      </c>
    </row>
    <row r="126">
      <c r="A126" t="s">
        <v>281</v>
      </c>
    </row>
    <row r="127">
      <c r="A127" t="s">
        <v>183</v>
      </c>
      <c r="B127" t="s">
        <v>18</v>
      </c>
      <c r="C127" t="s">
        <v>203</v>
      </c>
      <c r="D127" t="s">
        <v>204</v>
      </c>
    </row>
    <row r="128">
      <c r="A128" t="s">
        <v>184</v>
      </c>
      <c r="B128" t="n">
        <v>1776</v>
      </c>
      <c r="C128" t="s">
        <v>262</v>
      </c>
      <c r="D128" t="s">
        <v>263</v>
      </c>
    </row>
    <row r="130">
      <c r="A130" t="s">
        <v>282</v>
      </c>
    </row>
    <row r="131">
      <c r="A131" t="s">
        <v>18</v>
      </c>
      <c r="B131" t="s">
        <v>203</v>
      </c>
      <c r="C131" t="s">
        <v>209</v>
      </c>
      <c r="D131" t="s">
        <v>210</v>
      </c>
    </row>
    <row r="132">
      <c r="A132" t="n">
        <v>380</v>
      </c>
      <c r="B132" t="s">
        <v>138</v>
      </c>
      <c r="C132" t="s">
        <v>283</v>
      </c>
      <c r="D132" t="s">
        <v>284</v>
      </c>
    </row>
    <row r="134">
      <c r="A134" t="s">
        <v>285</v>
      </c>
    </row>
    <row r="135">
      <c r="A135" t="s">
        <v>215</v>
      </c>
      <c r="B135" t="s">
        <v>18</v>
      </c>
      <c r="C135" t="s">
        <v>203</v>
      </c>
      <c r="D135" t="s">
        <v>209</v>
      </c>
      <c r="E135" t="s">
        <v>210</v>
      </c>
    </row>
    <row r="136">
      <c r="A136" t="s">
        <v>27</v>
      </c>
      <c r="B136" t="n">
        <v>203</v>
      </c>
      <c r="C136" t="s">
        <v>286</v>
      </c>
      <c r="D136" t="s">
        <v>60</v>
      </c>
      <c r="E136" t="s">
        <v>287</v>
      </c>
    </row>
    <row r="137">
      <c r="A137" t="s">
        <v>28</v>
      </c>
      <c r="B137" t="n">
        <v>177</v>
      </c>
      <c r="C137" t="s">
        <v>288</v>
      </c>
      <c r="D137" t="s">
        <v>289</v>
      </c>
      <c r="E137" t="s">
        <v>290</v>
      </c>
    </row>
    <row r="139">
      <c r="A139" t="s">
        <v>291</v>
      </c>
    </row>
    <row r="140">
      <c r="A140" t="s">
        <v>234</v>
      </c>
      <c r="B140" t="s">
        <v>18</v>
      </c>
      <c r="C140" t="s">
        <v>203</v>
      </c>
      <c r="D140" t="s">
        <v>209</v>
      </c>
      <c r="E140" t="s">
        <v>210</v>
      </c>
    </row>
    <row r="141">
      <c r="A141" t="s">
        <v>235</v>
      </c>
      <c r="B141" t="n">
        <v>182</v>
      </c>
      <c r="C141" t="s">
        <v>292</v>
      </c>
      <c r="D141" t="s">
        <v>293</v>
      </c>
      <c r="E141" t="s">
        <v>294</v>
      </c>
    </row>
    <row r="142">
      <c r="A142" t="s">
        <v>238</v>
      </c>
      <c r="B142" t="n">
        <v>198</v>
      </c>
      <c r="C142" t="s">
        <v>295</v>
      </c>
      <c r="D142" t="s">
        <v>61</v>
      </c>
      <c r="E142" t="s">
        <v>296</v>
      </c>
    </row>
    <row r="144">
      <c r="A144" t="s">
        <v>297</v>
      </c>
    </row>
    <row r="145">
      <c r="A145" t="s">
        <v>18</v>
      </c>
      <c r="B145" t="s">
        <v>203</v>
      </c>
      <c r="C145" t="s">
        <v>204</v>
      </c>
    </row>
    <row r="146">
      <c r="A146" t="n">
        <v>271</v>
      </c>
      <c r="B146" t="s">
        <v>298</v>
      </c>
      <c r="C146" t="s">
        <v>299</v>
      </c>
    </row>
    <row r="148">
      <c r="A148" t="s">
        <v>300</v>
      </c>
    </row>
    <row r="149">
      <c r="A149" t="s">
        <v>215</v>
      </c>
      <c r="B149" t="s">
        <v>18</v>
      </c>
      <c r="C149" t="s">
        <v>203</v>
      </c>
      <c r="D149" t="s">
        <v>204</v>
      </c>
    </row>
    <row r="150">
      <c r="A150" t="s">
        <v>27</v>
      </c>
      <c r="B150" t="n">
        <v>92</v>
      </c>
      <c r="C150" t="s">
        <v>301</v>
      </c>
      <c r="D150" t="s">
        <v>302</v>
      </c>
    </row>
    <row r="151">
      <c r="A151" t="s">
        <v>28</v>
      </c>
      <c r="B151" t="n">
        <v>45</v>
      </c>
      <c r="C151" t="s">
        <v>303</v>
      </c>
      <c r="D151" t="s">
        <v>304</v>
      </c>
    </row>
    <row r="152">
      <c r="A152" t="s">
        <v>29</v>
      </c>
      <c r="B152" t="n">
        <v>28</v>
      </c>
      <c r="C152" t="s">
        <v>305</v>
      </c>
      <c r="D152" t="s">
        <v>306</v>
      </c>
    </row>
    <row r="153">
      <c r="A153" t="s">
        <v>30</v>
      </c>
      <c r="B153" t="n">
        <v>24</v>
      </c>
      <c r="C153" t="s">
        <v>307</v>
      </c>
      <c r="D153" t="s">
        <v>307</v>
      </c>
    </row>
    <row r="154">
      <c r="A154" t="s">
        <v>31</v>
      </c>
      <c r="B154" t="n">
        <v>78</v>
      </c>
      <c r="C154" t="s">
        <v>308</v>
      </c>
      <c r="D154" t="s">
        <v>309</v>
      </c>
    </row>
    <row r="155">
      <c r="A155" t="s">
        <v>32</v>
      </c>
      <c r="B155" t="n">
        <v>4</v>
      </c>
      <c r="C155" t="s">
        <v>123</v>
      </c>
      <c r="D155" t="s">
        <v>20</v>
      </c>
    </row>
    <row r="157">
      <c r="A157" t="s">
        <v>310</v>
      </c>
    </row>
    <row r="158">
      <c r="A158" t="s">
        <v>234</v>
      </c>
      <c r="B158" t="s">
        <v>18</v>
      </c>
      <c r="C158" t="s">
        <v>203</v>
      </c>
      <c r="D158" t="s">
        <v>204</v>
      </c>
    </row>
    <row r="159">
      <c r="A159" t="s">
        <v>235</v>
      </c>
      <c r="B159" t="n">
        <v>139</v>
      </c>
      <c r="C159" t="s">
        <v>311</v>
      </c>
      <c r="D159" t="s">
        <v>312</v>
      </c>
    </row>
    <row r="160">
      <c r="A160" t="s">
        <v>238</v>
      </c>
      <c r="B160" t="n">
        <v>132</v>
      </c>
      <c r="C160" t="s">
        <v>303</v>
      </c>
      <c r="D160" t="s">
        <v>304</v>
      </c>
    </row>
    <row r="162">
      <c r="A162" t="s">
        <v>313</v>
      </c>
    </row>
    <row r="163">
      <c r="A163" t="s">
        <v>183</v>
      </c>
      <c r="B163" t="s">
        <v>18</v>
      </c>
      <c r="C163" t="s">
        <v>203</v>
      </c>
      <c r="D163" t="s">
        <v>204</v>
      </c>
    </row>
    <row r="164">
      <c r="A164" t="s">
        <v>184</v>
      </c>
      <c r="B164" t="n">
        <v>271</v>
      </c>
      <c r="C164" t="s">
        <v>298</v>
      </c>
      <c r="D164" t="s">
        <v>299</v>
      </c>
    </row>
    <row r="166">
      <c r="A166" t="s">
        <v>314</v>
      </c>
    </row>
    <row r="167">
      <c r="A167" t="s">
        <v>18</v>
      </c>
      <c r="B167" t="s">
        <v>315</v>
      </c>
      <c r="C167" t="s">
        <v>316</v>
      </c>
      <c r="D167" t="s">
        <v>317</v>
      </c>
      <c r="E167" t="s">
        <v>318</v>
      </c>
      <c r="F167" t="s">
        <v>319</v>
      </c>
      <c r="G167" t="s">
        <v>320</v>
      </c>
      <c r="H167" t="s">
        <v>321</v>
      </c>
      <c r="I167" t="s">
        <v>322</v>
      </c>
      <c r="J167" t="s">
        <v>323</v>
      </c>
      <c r="K167" t="s">
        <v>324</v>
      </c>
      <c r="L167" t="s">
        <v>325</v>
      </c>
      <c r="M167" t="s">
        <v>116</v>
      </c>
      <c r="N167" t="s">
        <v>117</v>
      </c>
      <c r="O167" t="s">
        <v>118</v>
      </c>
    </row>
    <row r="168">
      <c r="A168" t="n">
        <v>271</v>
      </c>
      <c r="B168" t="s">
        <v>326</v>
      </c>
      <c r="C168" t="s">
        <v>327</v>
      </c>
      <c r="D168" t="s">
        <v>328</v>
      </c>
      <c r="E168" t="s">
        <v>329</v>
      </c>
      <c r="F168" t="s">
        <v>329</v>
      </c>
      <c r="G168" t="s">
        <v>330</v>
      </c>
      <c r="H168" t="s">
        <v>190</v>
      </c>
      <c r="I168" t="s">
        <v>331</v>
      </c>
      <c r="J168" t="s">
        <v>332</v>
      </c>
      <c r="K168" t="s">
        <v>221</v>
      </c>
      <c r="L168" t="s">
        <v>333</v>
      </c>
      <c r="M168" t="s">
        <v>190</v>
      </c>
      <c r="N168" t="s">
        <v>123</v>
      </c>
      <c r="O168" t="s">
        <v>123</v>
      </c>
    </row>
    <row r="170">
      <c r="A170" t="s">
        <v>334</v>
      </c>
    </row>
    <row r="171">
      <c r="A171" t="s">
        <v>18</v>
      </c>
      <c r="B171" t="s">
        <v>203</v>
      </c>
      <c r="C171" t="s">
        <v>210</v>
      </c>
    </row>
    <row r="172">
      <c r="A172" t="n">
        <v>409</v>
      </c>
      <c r="B172" t="s">
        <v>335</v>
      </c>
      <c r="C172" t="s">
        <v>336</v>
      </c>
    </row>
    <row r="174">
      <c r="A174" t="s">
        <v>337</v>
      </c>
    </row>
    <row r="175">
      <c r="A175" t="s">
        <v>215</v>
      </c>
      <c r="B175" t="s">
        <v>18</v>
      </c>
      <c r="C175" t="s">
        <v>203</v>
      </c>
      <c r="D175" t="s">
        <v>210</v>
      </c>
    </row>
    <row r="176">
      <c r="A176" t="s">
        <v>27</v>
      </c>
      <c r="B176" t="n">
        <v>231</v>
      </c>
      <c r="C176" t="s">
        <v>338</v>
      </c>
      <c r="D176" t="s">
        <v>242</v>
      </c>
    </row>
    <row r="177">
      <c r="A177" t="s">
        <v>28</v>
      </c>
      <c r="B177" t="n">
        <v>177</v>
      </c>
      <c r="C177" t="s">
        <v>335</v>
      </c>
      <c r="D177" t="s">
        <v>336</v>
      </c>
    </row>
    <row r="178">
      <c r="A178" t="s">
        <v>29</v>
      </c>
      <c r="B178" t="n">
        <v>1</v>
      </c>
      <c r="C178" t="s">
        <v>20</v>
      </c>
      <c r="D178" t="s">
        <v>123</v>
      </c>
    </row>
    <row r="180">
      <c r="A180" t="s">
        <v>339</v>
      </c>
    </row>
    <row r="181">
      <c r="A181" t="s">
        <v>234</v>
      </c>
      <c r="B181" t="s">
        <v>18</v>
      </c>
      <c r="C181" t="s">
        <v>203</v>
      </c>
      <c r="D181" t="s">
        <v>210</v>
      </c>
    </row>
    <row r="182">
      <c r="A182" t="s">
        <v>235</v>
      </c>
      <c r="B182" t="n">
        <v>199</v>
      </c>
      <c r="C182" t="s">
        <v>340</v>
      </c>
      <c r="D182" t="s">
        <v>341</v>
      </c>
    </row>
    <row r="183">
      <c r="A183" t="s">
        <v>238</v>
      </c>
      <c r="B183" t="n">
        <v>210</v>
      </c>
      <c r="C183" t="s">
        <v>342</v>
      </c>
      <c r="D183" t="s">
        <v>140</v>
      </c>
    </row>
    <row r="185">
      <c r="A185" t="s">
        <v>343</v>
      </c>
    </row>
    <row r="186">
      <c r="A186" t="s">
        <v>18</v>
      </c>
      <c r="B186" t="s">
        <v>344</v>
      </c>
      <c r="C186" t="s">
        <v>345</v>
      </c>
      <c r="D186" t="s">
        <v>346</v>
      </c>
      <c r="E186" t="s">
        <v>347</v>
      </c>
      <c r="F186" t="s">
        <v>348</v>
      </c>
      <c r="G186" t="s">
        <v>349</v>
      </c>
      <c r="H186" t="s">
        <v>350</v>
      </c>
      <c r="I186" t="s">
        <v>351</v>
      </c>
      <c r="J186" t="s">
        <v>352</v>
      </c>
      <c r="K186" t="s">
        <v>353</v>
      </c>
    </row>
    <row r="187">
      <c r="A187" t="n">
        <v>1777</v>
      </c>
      <c r="B187" t="s">
        <v>82</v>
      </c>
      <c r="C187" t="s">
        <v>36</v>
      </c>
      <c r="D187" t="s">
        <v>227</v>
      </c>
      <c r="E187" t="s">
        <v>354</v>
      </c>
      <c r="F187" t="s">
        <v>355</v>
      </c>
      <c r="G187" t="s">
        <v>331</v>
      </c>
      <c r="H187" t="s">
        <v>200</v>
      </c>
      <c r="I187" t="s">
        <v>356</v>
      </c>
      <c r="J187" t="s">
        <v>329</v>
      </c>
      <c r="K187" t="s">
        <v>357</v>
      </c>
    </row>
    <row r="189">
      <c r="A189" t="s">
        <v>358</v>
      </c>
    </row>
    <row r="190">
      <c r="A190" t="s">
        <v>18</v>
      </c>
      <c r="B190" t="s">
        <v>359</v>
      </c>
      <c r="C190" t="s">
        <v>360</v>
      </c>
    </row>
    <row r="191">
      <c r="A191" t="n">
        <v>1777</v>
      </c>
      <c r="B191" t="s">
        <v>361</v>
      </c>
      <c r="C191" t="s">
        <v>362</v>
      </c>
    </row>
    <row r="193">
      <c r="A193" t="s">
        <v>363</v>
      </c>
    </row>
    <row r="194">
      <c r="A194" t="s">
        <v>18</v>
      </c>
      <c r="B194" t="s">
        <v>40</v>
      </c>
      <c r="C194" t="s">
        <v>41</v>
      </c>
      <c r="D194" t="s">
        <v>42</v>
      </c>
      <c r="E194" t="s">
        <v>43</v>
      </c>
    </row>
    <row r="195">
      <c r="A195" t="n">
        <v>250</v>
      </c>
      <c r="B195" t="n">
        <v>7.11</v>
      </c>
      <c r="C195" t="n">
        <v>7</v>
      </c>
      <c r="D195" t="n">
        <v>3</v>
      </c>
      <c r="E195" t="n">
        <v>20</v>
      </c>
    </row>
    <row r="197">
      <c r="A197" t="s">
        <v>364</v>
      </c>
    </row>
    <row r="198">
      <c r="A198" t="s">
        <v>18</v>
      </c>
      <c r="B198" t="s">
        <v>203</v>
      </c>
      <c r="C198" t="s">
        <v>204</v>
      </c>
    </row>
    <row r="199">
      <c r="A199" t="n">
        <v>361</v>
      </c>
      <c r="B199" t="s">
        <v>365</v>
      </c>
      <c r="C199" t="s">
        <v>366</v>
      </c>
    </row>
    <row r="201">
      <c r="A201" t="s">
        <v>367</v>
      </c>
    </row>
    <row r="202">
      <c r="A202" t="s">
        <v>18</v>
      </c>
      <c r="B202" t="s">
        <v>204</v>
      </c>
    </row>
    <row r="203">
      <c r="A203" t="n">
        <v>361</v>
      </c>
      <c r="B203" t="s">
        <v>20</v>
      </c>
    </row>
    <row r="205">
      <c r="A205" t="s">
        <v>368</v>
      </c>
    </row>
    <row r="206">
      <c r="A206" t="s">
        <v>18</v>
      </c>
      <c r="B206" t="s">
        <v>369</v>
      </c>
      <c r="C206" t="s">
        <v>370</v>
      </c>
      <c r="D206" t="s">
        <v>371</v>
      </c>
      <c r="E206" t="s">
        <v>372</v>
      </c>
    </row>
    <row r="207">
      <c r="A207" t="n">
        <v>31</v>
      </c>
      <c r="B207" t="s">
        <v>373</v>
      </c>
      <c r="C207" t="s">
        <v>373</v>
      </c>
      <c r="D207" t="s">
        <v>374</v>
      </c>
      <c r="E207" t="s">
        <v>375</v>
      </c>
    </row>
    <row r="209">
      <c r="A209" t="s">
        <v>376</v>
      </c>
    </row>
    <row r="210">
      <c r="A210" t="s">
        <v>377</v>
      </c>
      <c r="B210" t="s">
        <v>18</v>
      </c>
      <c r="C210" t="s">
        <v>369</v>
      </c>
      <c r="D210" t="s">
        <v>370</v>
      </c>
      <c r="E210" t="s">
        <v>371</v>
      </c>
      <c r="F210" t="s">
        <v>372</v>
      </c>
    </row>
    <row r="211">
      <c r="A211" t="s">
        <v>378</v>
      </c>
      <c r="B211" t="n">
        <v>21</v>
      </c>
      <c r="C211" t="s">
        <v>379</v>
      </c>
      <c r="D211" t="s">
        <v>380</v>
      </c>
      <c r="E211" t="s">
        <v>381</v>
      </c>
      <c r="F211" t="s">
        <v>380</v>
      </c>
    </row>
    <row r="212">
      <c r="A212" t="s">
        <v>382</v>
      </c>
      <c r="B212" t="n">
        <v>10</v>
      </c>
      <c r="C212" t="s">
        <v>123</v>
      </c>
      <c r="D212" t="s">
        <v>355</v>
      </c>
      <c r="E212" t="s">
        <v>383</v>
      </c>
      <c r="F212" t="s">
        <v>123</v>
      </c>
    </row>
    <row r="214">
      <c r="A214" t="s">
        <v>384</v>
      </c>
    </row>
    <row r="215">
      <c r="A215" t="s">
        <v>385</v>
      </c>
      <c r="B215" t="s">
        <v>18</v>
      </c>
      <c r="C215" t="s">
        <v>369</v>
      </c>
      <c r="D215" t="s">
        <v>370</v>
      </c>
      <c r="E215" t="s">
        <v>371</v>
      </c>
      <c r="F215" t="s">
        <v>372</v>
      </c>
    </row>
    <row r="216">
      <c r="A216" t="s">
        <v>235</v>
      </c>
      <c r="B216" t="n">
        <v>20</v>
      </c>
      <c r="C216" t="s">
        <v>386</v>
      </c>
      <c r="D216" t="s">
        <v>355</v>
      </c>
      <c r="E216" t="s">
        <v>387</v>
      </c>
      <c r="F216" t="s">
        <v>355</v>
      </c>
    </row>
    <row r="217">
      <c r="A217" t="s">
        <v>238</v>
      </c>
      <c r="B217" t="n">
        <v>11</v>
      </c>
      <c r="C217" t="s">
        <v>388</v>
      </c>
      <c r="D217" t="s">
        <v>389</v>
      </c>
      <c r="E217" t="s">
        <v>390</v>
      </c>
      <c r="F217" t="s">
        <v>388</v>
      </c>
    </row>
    <row r="219">
      <c r="A219" t="s">
        <v>391</v>
      </c>
    </row>
    <row r="220">
      <c r="A220" t="s">
        <v>18</v>
      </c>
      <c r="B220" t="s">
        <v>392</v>
      </c>
      <c r="C220" t="s">
        <v>393</v>
      </c>
      <c r="D220" t="s">
        <v>394</v>
      </c>
      <c r="E220" t="s">
        <v>395</v>
      </c>
      <c r="F220" t="s">
        <v>396</v>
      </c>
      <c r="G220" t="s">
        <v>397</v>
      </c>
      <c r="H220" t="s">
        <v>398</v>
      </c>
      <c r="I220" t="s">
        <v>399</v>
      </c>
      <c r="J220" t="s">
        <v>400</v>
      </c>
      <c r="K220" t="s">
        <v>116</v>
      </c>
      <c r="L220" t="s">
        <v>118</v>
      </c>
    </row>
    <row r="221">
      <c r="A221" t="n">
        <v>361</v>
      </c>
      <c r="B221" t="s">
        <v>401</v>
      </c>
      <c r="C221" t="s">
        <v>402</v>
      </c>
      <c r="D221" t="s">
        <v>403</v>
      </c>
      <c r="E221" t="s">
        <v>275</v>
      </c>
      <c r="F221" t="s">
        <v>404</v>
      </c>
      <c r="G221" t="s">
        <v>201</v>
      </c>
      <c r="H221" t="s">
        <v>59</v>
      </c>
      <c r="I221" t="s">
        <v>123</v>
      </c>
      <c r="J221" t="s">
        <v>123</v>
      </c>
      <c r="K221" t="s">
        <v>123</v>
      </c>
      <c r="L221" t="s">
        <v>123</v>
      </c>
    </row>
    <row r="223">
      <c r="A223" t="s">
        <v>405</v>
      </c>
    </row>
    <row r="224">
      <c r="A224" t="s">
        <v>385</v>
      </c>
      <c r="B224" t="s">
        <v>18</v>
      </c>
      <c r="C224" t="s">
        <v>392</v>
      </c>
      <c r="D224" t="s">
        <v>393</v>
      </c>
      <c r="E224" t="s">
        <v>394</v>
      </c>
      <c r="F224" t="s">
        <v>395</v>
      </c>
      <c r="G224" t="s">
        <v>396</v>
      </c>
      <c r="H224" t="s">
        <v>397</v>
      </c>
      <c r="I224" t="s">
        <v>398</v>
      </c>
      <c r="J224" t="s">
        <v>399</v>
      </c>
      <c r="K224" t="s">
        <v>400</v>
      </c>
      <c r="L224" t="s">
        <v>116</v>
      </c>
      <c r="M224" t="s">
        <v>118</v>
      </c>
    </row>
    <row r="225">
      <c r="A225" t="s">
        <v>235</v>
      </c>
      <c r="B225" t="n">
        <v>174</v>
      </c>
      <c r="C225" t="s">
        <v>379</v>
      </c>
      <c r="D225" t="s">
        <v>299</v>
      </c>
      <c r="E225" t="s">
        <v>406</v>
      </c>
      <c r="F225" t="s">
        <v>407</v>
      </c>
      <c r="G225" t="s">
        <v>336</v>
      </c>
      <c r="H225" t="s">
        <v>408</v>
      </c>
      <c r="I225" t="s">
        <v>257</v>
      </c>
      <c r="J225" t="s">
        <v>123</v>
      </c>
      <c r="K225" t="s">
        <v>123</v>
      </c>
      <c r="L225" t="s">
        <v>123</v>
      </c>
      <c r="M225" t="s">
        <v>123</v>
      </c>
    </row>
    <row r="226">
      <c r="A226" t="s">
        <v>238</v>
      </c>
      <c r="B226" t="n">
        <v>187</v>
      </c>
      <c r="C226" t="s">
        <v>409</v>
      </c>
      <c r="D226" t="s">
        <v>410</v>
      </c>
      <c r="E226" t="s">
        <v>411</v>
      </c>
      <c r="F226" t="s">
        <v>133</v>
      </c>
      <c r="G226" t="s">
        <v>412</v>
      </c>
      <c r="H226" t="s">
        <v>200</v>
      </c>
      <c r="I226" t="s">
        <v>201</v>
      </c>
      <c r="J226" t="s">
        <v>123</v>
      </c>
      <c r="K226" t="s">
        <v>123</v>
      </c>
      <c r="L226" t="s">
        <v>123</v>
      </c>
      <c r="M226" t="s">
        <v>123</v>
      </c>
    </row>
    <row r="228">
      <c r="A228" t="s">
        <v>413</v>
      </c>
    </row>
    <row r="229">
      <c r="A229" t="s">
        <v>18</v>
      </c>
      <c r="B229" t="s">
        <v>203</v>
      </c>
    </row>
    <row r="230">
      <c r="A230" t="n">
        <v>4</v>
      </c>
      <c r="B230" t="s">
        <v>20</v>
      </c>
    </row>
    <row r="232">
      <c r="A232" t="s">
        <v>414</v>
      </c>
    </row>
    <row r="233">
      <c r="A233" t="s">
        <v>18</v>
      </c>
      <c r="B233" t="s">
        <v>203</v>
      </c>
      <c r="C233" t="s">
        <v>204</v>
      </c>
    </row>
    <row r="234">
      <c r="A234" t="n">
        <v>361</v>
      </c>
      <c r="B234" t="s">
        <v>415</v>
      </c>
      <c r="C234" t="s">
        <v>201</v>
      </c>
    </row>
    <row r="236">
      <c r="A236" t="s">
        <v>416</v>
      </c>
    </row>
    <row r="237">
      <c r="A237" t="s">
        <v>18</v>
      </c>
      <c r="B237" t="s">
        <v>417</v>
      </c>
      <c r="C237" t="s">
        <v>418</v>
      </c>
      <c r="D237" t="s">
        <v>419</v>
      </c>
      <c r="E237" t="s">
        <v>420</v>
      </c>
      <c r="F237" t="s">
        <v>421</v>
      </c>
      <c r="G237" t="s">
        <v>422</v>
      </c>
      <c r="H237" t="s">
        <v>423</v>
      </c>
      <c r="I237" t="s">
        <v>424</v>
      </c>
      <c r="J237" t="s">
        <v>117</v>
      </c>
      <c r="K237" t="s">
        <v>116</v>
      </c>
    </row>
    <row r="238">
      <c r="A238" t="n">
        <v>361</v>
      </c>
      <c r="B238" t="s">
        <v>425</v>
      </c>
      <c r="C238" t="s">
        <v>426</v>
      </c>
      <c r="D238" t="s">
        <v>427</v>
      </c>
      <c r="E238" t="s">
        <v>283</v>
      </c>
      <c r="F238" t="s">
        <v>428</v>
      </c>
      <c r="G238" t="s">
        <v>123</v>
      </c>
      <c r="H238" t="s">
        <v>201</v>
      </c>
      <c r="I238" t="s">
        <v>123</v>
      </c>
      <c r="J238" t="s">
        <v>123</v>
      </c>
      <c r="K238" t="s">
        <v>123</v>
      </c>
    </row>
    <row r="240">
      <c r="A240" t="s">
        <v>429</v>
      </c>
    </row>
    <row r="241">
      <c r="A241" t="s">
        <v>385</v>
      </c>
      <c r="B241" t="s">
        <v>18</v>
      </c>
      <c r="C241" t="s">
        <v>417</v>
      </c>
      <c r="D241" t="s">
        <v>418</v>
      </c>
      <c r="E241" t="s">
        <v>419</v>
      </c>
      <c r="F241" t="s">
        <v>420</v>
      </c>
      <c r="G241" t="s">
        <v>421</v>
      </c>
      <c r="H241" t="s">
        <v>422</v>
      </c>
      <c r="I241" t="s">
        <v>423</v>
      </c>
      <c r="J241" t="s">
        <v>424</v>
      </c>
      <c r="K241" t="s">
        <v>117</v>
      </c>
      <c r="L241" t="s">
        <v>116</v>
      </c>
    </row>
    <row r="242">
      <c r="A242" t="s">
        <v>235</v>
      </c>
      <c r="B242" t="n">
        <v>174</v>
      </c>
      <c r="C242" t="s">
        <v>92</v>
      </c>
      <c r="D242" t="s">
        <v>277</v>
      </c>
      <c r="E242" t="s">
        <v>430</v>
      </c>
      <c r="F242" t="s">
        <v>61</v>
      </c>
      <c r="G242" t="s">
        <v>431</v>
      </c>
      <c r="H242" t="s">
        <v>123</v>
      </c>
      <c r="I242" t="s">
        <v>201</v>
      </c>
      <c r="J242" t="s">
        <v>123</v>
      </c>
      <c r="K242" t="s">
        <v>123</v>
      </c>
      <c r="L242" t="s">
        <v>123</v>
      </c>
    </row>
    <row r="243">
      <c r="A243" t="s">
        <v>238</v>
      </c>
      <c r="B243" t="n">
        <v>187</v>
      </c>
      <c r="C243" t="s">
        <v>432</v>
      </c>
      <c r="D243" t="s">
        <v>433</v>
      </c>
      <c r="E243" t="s">
        <v>119</v>
      </c>
      <c r="F243" t="s">
        <v>219</v>
      </c>
      <c r="G243" t="s">
        <v>434</v>
      </c>
      <c r="H243" t="s">
        <v>123</v>
      </c>
      <c r="I243" t="s">
        <v>201</v>
      </c>
      <c r="J243" t="s">
        <v>123</v>
      </c>
      <c r="K243" t="s">
        <v>123</v>
      </c>
      <c r="L243" t="s">
        <v>123</v>
      </c>
    </row>
    <row r="245">
      <c r="A245" t="s">
        <v>435</v>
      </c>
    </row>
    <row r="246">
      <c r="A246" t="s">
        <v>18</v>
      </c>
      <c r="B246" t="s">
        <v>40</v>
      </c>
      <c r="C246" t="s">
        <v>41</v>
      </c>
      <c r="D246" t="s">
        <v>42</v>
      </c>
      <c r="E246" t="s">
        <v>43</v>
      </c>
    </row>
    <row r="247">
      <c r="A247" t="n">
        <v>361</v>
      </c>
      <c r="B247" t="n">
        <v>14.1</v>
      </c>
      <c r="C247" t="n">
        <v>14</v>
      </c>
      <c r="D247" t="n">
        <v>9.1</v>
      </c>
      <c r="E247" t="n">
        <v>18.8</v>
      </c>
    </row>
    <row r="249">
      <c r="A249" t="s">
        <v>436</v>
      </c>
    </row>
    <row r="250">
      <c r="A250" t="s">
        <v>377</v>
      </c>
      <c r="B250" t="s">
        <v>18</v>
      </c>
      <c r="C250" t="s">
        <v>40</v>
      </c>
      <c r="D250" t="s">
        <v>41</v>
      </c>
      <c r="E250" t="s">
        <v>42</v>
      </c>
      <c r="F250" t="s">
        <v>43</v>
      </c>
    </row>
    <row r="251">
      <c r="A251" t="s">
        <v>378</v>
      </c>
      <c r="B251" t="n">
        <v>145</v>
      </c>
      <c r="C251" t="n">
        <v>13.51</v>
      </c>
      <c r="D251" t="n">
        <v>13.5</v>
      </c>
      <c r="E251" t="n">
        <v>9.6</v>
      </c>
      <c r="F251" t="n">
        <v>18</v>
      </c>
    </row>
    <row r="252">
      <c r="A252" t="s">
        <v>382</v>
      </c>
      <c r="B252" t="n">
        <v>216</v>
      </c>
      <c r="C252" t="n">
        <v>14.49</v>
      </c>
      <c r="D252" t="n">
        <v>14.4</v>
      </c>
      <c r="E252" t="n">
        <v>9.1</v>
      </c>
      <c r="F252" t="n">
        <v>18.8</v>
      </c>
    </row>
    <row r="254">
      <c r="A254" t="s">
        <v>437</v>
      </c>
    </row>
    <row r="255">
      <c r="A255" t="s">
        <v>385</v>
      </c>
      <c r="B255" t="s">
        <v>18</v>
      </c>
      <c r="C255" t="s">
        <v>40</v>
      </c>
      <c r="D255" t="s">
        <v>41</v>
      </c>
      <c r="E255" t="s">
        <v>42</v>
      </c>
      <c r="F255" t="s">
        <v>43</v>
      </c>
    </row>
    <row r="256">
      <c r="A256" t="s">
        <v>235</v>
      </c>
      <c r="B256" t="n">
        <v>174</v>
      </c>
      <c r="C256" t="n">
        <v>14.03</v>
      </c>
      <c r="D256" t="n">
        <v>14</v>
      </c>
      <c r="E256" t="n">
        <v>9.1</v>
      </c>
      <c r="F256" t="n">
        <v>18</v>
      </c>
    </row>
    <row r="257">
      <c r="A257" t="s">
        <v>238</v>
      </c>
      <c r="B257" t="n">
        <v>187</v>
      </c>
      <c r="C257" t="n">
        <v>14.16</v>
      </c>
      <c r="D257" t="n">
        <v>14</v>
      </c>
      <c r="E257" t="n">
        <v>10.5</v>
      </c>
      <c r="F257" t="n">
        <v>18.8</v>
      </c>
    </row>
    <row r="259">
      <c r="A259" t="s">
        <v>438</v>
      </c>
    </row>
    <row r="260">
      <c r="A260" t="s">
        <v>18</v>
      </c>
      <c r="B260" t="s">
        <v>184</v>
      </c>
    </row>
    <row r="261">
      <c r="A261" t="n">
        <v>250</v>
      </c>
      <c r="B261" t="s">
        <v>20</v>
      </c>
    </row>
    <row r="263">
      <c r="A263" t="s">
        <v>439</v>
      </c>
    </row>
    <row r="264">
      <c r="A264" t="s">
        <v>18</v>
      </c>
      <c r="B264" t="s">
        <v>204</v>
      </c>
    </row>
    <row r="265">
      <c r="A265" t="n">
        <v>250</v>
      </c>
      <c r="B265" t="s">
        <v>20</v>
      </c>
    </row>
    <row r="267">
      <c r="A267" t="s">
        <v>440</v>
      </c>
    </row>
    <row r="268">
      <c r="A268" t="s">
        <v>18</v>
      </c>
      <c r="B268" t="s">
        <v>441</v>
      </c>
      <c r="C268" t="s">
        <v>442</v>
      </c>
      <c r="D268" t="s">
        <v>443</v>
      </c>
      <c r="E268" t="s">
        <v>444</v>
      </c>
      <c r="F268" t="s">
        <v>445</v>
      </c>
    </row>
    <row r="269">
      <c r="A269" t="n">
        <v>250</v>
      </c>
      <c r="B269" t="s">
        <v>446</v>
      </c>
      <c r="C269" t="s">
        <v>36</v>
      </c>
      <c r="D269" t="s">
        <v>58</v>
      </c>
      <c r="E269" t="s">
        <v>447</v>
      </c>
      <c r="F269" t="s">
        <v>106</v>
      </c>
    </row>
    <row r="271">
      <c r="A271" t="s">
        <v>448</v>
      </c>
    </row>
    <row r="272">
      <c r="A272" t="s">
        <v>18</v>
      </c>
      <c r="B272" t="s">
        <v>441</v>
      </c>
      <c r="C272" t="s">
        <v>442</v>
      </c>
      <c r="D272" t="s">
        <v>443</v>
      </c>
      <c r="E272" t="s">
        <v>444</v>
      </c>
      <c r="F272" t="s">
        <v>445</v>
      </c>
    </row>
    <row r="273">
      <c r="A273" t="n">
        <v>250</v>
      </c>
      <c r="B273" t="s">
        <v>449</v>
      </c>
      <c r="C273" t="s">
        <v>446</v>
      </c>
      <c r="D273" t="s">
        <v>450</v>
      </c>
      <c r="E273" t="s">
        <v>231</v>
      </c>
      <c r="F273" t="s">
        <v>59</v>
      </c>
    </row>
    <row r="275">
      <c r="A275" t="s">
        <v>451</v>
      </c>
    </row>
    <row r="276">
      <c r="A276" t="s">
        <v>18</v>
      </c>
      <c r="B276" t="s">
        <v>452</v>
      </c>
      <c r="C276" t="s">
        <v>441</v>
      </c>
      <c r="D276" t="s">
        <v>442</v>
      </c>
      <c r="E276" t="s">
        <v>443</v>
      </c>
      <c r="F276" t="s">
        <v>444</v>
      </c>
      <c r="G276" t="s">
        <v>445</v>
      </c>
    </row>
    <row r="277">
      <c r="A277" t="n">
        <v>250</v>
      </c>
      <c r="B277" t="s">
        <v>59</v>
      </c>
      <c r="C277" t="s">
        <v>453</v>
      </c>
      <c r="D277" t="s">
        <v>454</v>
      </c>
      <c r="E277" t="s">
        <v>139</v>
      </c>
      <c r="F277" t="s">
        <v>455</v>
      </c>
      <c r="G277" t="s">
        <v>106</v>
      </c>
    </row>
    <row r="279">
      <c r="A279" t="s">
        <v>456</v>
      </c>
    </row>
    <row r="280">
      <c r="A280" t="s">
        <v>18</v>
      </c>
      <c r="B280" t="s">
        <v>452</v>
      </c>
      <c r="C280" t="s">
        <v>441</v>
      </c>
      <c r="D280" t="s">
        <v>442</v>
      </c>
      <c r="E280" t="s">
        <v>443</v>
      </c>
      <c r="F280" t="s">
        <v>444</v>
      </c>
    </row>
    <row r="281">
      <c r="A281" t="n">
        <v>250</v>
      </c>
      <c r="B281" t="s">
        <v>56</v>
      </c>
      <c r="C281" t="s">
        <v>81</v>
      </c>
      <c r="D281" t="s">
        <v>457</v>
      </c>
      <c r="E281" t="s">
        <v>133</v>
      </c>
      <c r="F281" t="s">
        <v>458</v>
      </c>
    </row>
    <row r="283">
      <c r="A283" t="s">
        <v>459</v>
      </c>
    </row>
    <row r="284">
      <c r="A284" t="s">
        <v>18</v>
      </c>
      <c r="B284" t="s">
        <v>441</v>
      </c>
      <c r="C284" t="s">
        <v>442</v>
      </c>
      <c r="D284" t="s">
        <v>443</v>
      </c>
      <c r="E284" t="s">
        <v>444</v>
      </c>
      <c r="F284" t="s">
        <v>445</v>
      </c>
    </row>
    <row r="285">
      <c r="A285" t="n">
        <v>250</v>
      </c>
      <c r="B285" t="s">
        <v>460</v>
      </c>
      <c r="C285" t="s">
        <v>446</v>
      </c>
      <c r="D285" t="s">
        <v>461</v>
      </c>
      <c r="E285" t="s">
        <v>462</v>
      </c>
      <c r="F285" t="s">
        <v>106</v>
      </c>
    </row>
    <row r="287">
      <c r="A287" t="s">
        <v>463</v>
      </c>
    </row>
    <row r="288">
      <c r="A288" t="s">
        <v>18</v>
      </c>
      <c r="B288" t="s">
        <v>441</v>
      </c>
      <c r="C288" t="s">
        <v>442</v>
      </c>
      <c r="D288" t="s">
        <v>443</v>
      </c>
      <c r="E288" t="s">
        <v>444</v>
      </c>
      <c r="F288" t="s">
        <v>445</v>
      </c>
    </row>
    <row r="289">
      <c r="A289" t="n">
        <v>250</v>
      </c>
      <c r="B289" t="s">
        <v>153</v>
      </c>
      <c r="C289" t="s">
        <v>464</v>
      </c>
      <c r="D289" t="s">
        <v>198</v>
      </c>
      <c r="E289" t="s">
        <v>465</v>
      </c>
      <c r="F289" t="s">
        <v>57</v>
      </c>
    </row>
    <row r="291">
      <c r="A291" t="s">
        <v>466</v>
      </c>
    </row>
    <row r="292">
      <c r="A292" t="s">
        <v>18</v>
      </c>
      <c r="B292" t="s">
        <v>467</v>
      </c>
      <c r="C292" t="s">
        <v>468</v>
      </c>
      <c r="D292" t="s">
        <v>469</v>
      </c>
      <c r="E292" t="s">
        <v>470</v>
      </c>
      <c r="F292" t="s">
        <v>471</v>
      </c>
      <c r="G292" t="s">
        <v>472</v>
      </c>
    </row>
    <row r="293">
      <c r="A293" t="n">
        <v>250</v>
      </c>
      <c r="B293" t="s">
        <v>36</v>
      </c>
      <c r="C293" t="s">
        <v>106</v>
      </c>
      <c r="D293" t="s">
        <v>473</v>
      </c>
      <c r="E293" t="s">
        <v>307</v>
      </c>
      <c r="F293" t="s">
        <v>105</v>
      </c>
      <c r="G293" t="s">
        <v>69</v>
      </c>
    </row>
    <row r="295">
      <c r="A295" t="s">
        <v>474</v>
      </c>
    </row>
    <row r="296">
      <c r="A296" t="s">
        <v>18</v>
      </c>
      <c r="B296" t="s">
        <v>203</v>
      </c>
      <c r="C296" t="s">
        <v>204</v>
      </c>
    </row>
    <row r="297">
      <c r="A297" t="n">
        <v>250</v>
      </c>
      <c r="B297" t="s">
        <v>365</v>
      </c>
      <c r="C297" t="s">
        <v>366</v>
      </c>
    </row>
    <row r="299">
      <c r="A299" t="s">
        <v>475</v>
      </c>
    </row>
    <row r="300">
      <c r="A300" t="s">
        <v>18</v>
      </c>
      <c r="B300" t="s">
        <v>127</v>
      </c>
      <c r="C300" t="s">
        <v>125</v>
      </c>
      <c r="D300" t="s">
        <v>476</v>
      </c>
      <c r="E300" t="s">
        <v>126</v>
      </c>
      <c r="F300" t="s">
        <v>131</v>
      </c>
      <c r="G300" t="s">
        <v>128</v>
      </c>
      <c r="H300" t="s">
        <v>129</v>
      </c>
      <c r="I300" t="s">
        <v>130</v>
      </c>
      <c r="J300" t="s">
        <v>477</v>
      </c>
      <c r="K300" t="s">
        <v>478</v>
      </c>
      <c r="L300" t="s">
        <v>479</v>
      </c>
      <c r="M300" t="s">
        <v>480</v>
      </c>
      <c r="N300" t="s">
        <v>481</v>
      </c>
      <c r="O300" t="s">
        <v>482</v>
      </c>
      <c r="P300" t="s">
        <v>483</v>
      </c>
      <c r="Q300" t="s">
        <v>484</v>
      </c>
      <c r="R300" t="s">
        <v>485</v>
      </c>
      <c r="S300" t="s">
        <v>486</v>
      </c>
      <c r="T300" t="s">
        <v>116</v>
      </c>
      <c r="U300" t="s">
        <v>117</v>
      </c>
      <c r="V300" t="s">
        <v>118</v>
      </c>
    </row>
    <row r="301">
      <c r="A301" t="n">
        <v>56</v>
      </c>
      <c r="B301" t="s">
        <v>487</v>
      </c>
      <c r="C301" t="s">
        <v>123</v>
      </c>
      <c r="D301" t="s">
        <v>329</v>
      </c>
      <c r="E301" t="s">
        <v>123</v>
      </c>
      <c r="F301" t="s">
        <v>488</v>
      </c>
      <c r="G301" t="s">
        <v>123</v>
      </c>
      <c r="H301" t="s">
        <v>365</v>
      </c>
      <c r="I301" t="s">
        <v>489</v>
      </c>
      <c r="J301" t="s">
        <v>123</v>
      </c>
      <c r="K301" t="s">
        <v>123</v>
      </c>
      <c r="L301" t="s">
        <v>123</v>
      </c>
      <c r="M301" t="s">
        <v>123</v>
      </c>
      <c r="N301" t="s">
        <v>329</v>
      </c>
      <c r="O301" t="s">
        <v>123</v>
      </c>
      <c r="P301" t="s">
        <v>329</v>
      </c>
      <c r="Q301" t="s">
        <v>123</v>
      </c>
      <c r="R301" t="s">
        <v>329</v>
      </c>
      <c r="S301" t="s">
        <v>365</v>
      </c>
      <c r="T301" t="s">
        <v>123</v>
      </c>
      <c r="U301" t="s">
        <v>123</v>
      </c>
      <c r="V301" t="s">
        <v>123</v>
      </c>
    </row>
    <row r="303">
      <c r="A303" t="s">
        <v>490</v>
      </c>
    </row>
    <row r="304">
      <c r="A304" t="s">
        <v>18</v>
      </c>
      <c r="B304" t="s">
        <v>40</v>
      </c>
      <c r="C304" t="s">
        <v>41</v>
      </c>
      <c r="D304" t="s">
        <v>42</v>
      </c>
      <c r="E304" t="s">
        <v>43</v>
      </c>
    </row>
    <row r="305">
      <c r="A305" t="n">
        <v>250</v>
      </c>
      <c r="B305" t="n">
        <v>185.26</v>
      </c>
      <c r="C305" t="n">
        <v>36</v>
      </c>
      <c r="D305" t="n">
        <v>10</v>
      </c>
      <c r="E305" t="n">
        <v>3500</v>
      </c>
    </row>
    <row r="307">
      <c r="A307" t="s">
        <v>491</v>
      </c>
    </row>
    <row r="308">
      <c r="A308" t="s">
        <v>18</v>
      </c>
      <c r="B308" t="s">
        <v>40</v>
      </c>
      <c r="C308" t="s">
        <v>41</v>
      </c>
      <c r="D308" t="s">
        <v>42</v>
      </c>
      <c r="E308" t="s">
        <v>43</v>
      </c>
    </row>
    <row r="309">
      <c r="A309" t="n">
        <v>40</v>
      </c>
      <c r="B309" t="n">
        <v>2.95</v>
      </c>
      <c r="C309" t="n">
        <v>3</v>
      </c>
      <c r="D309" t="n">
        <v>1</v>
      </c>
      <c r="E309" t="n">
        <v>7</v>
      </c>
    </row>
    <row r="311">
      <c r="A311" t="s">
        <v>492</v>
      </c>
    </row>
    <row r="312">
      <c r="A312" t="s">
        <v>18</v>
      </c>
      <c r="B312" t="s">
        <v>203</v>
      </c>
      <c r="C312" t="s">
        <v>204</v>
      </c>
    </row>
    <row r="313">
      <c r="A313" t="n">
        <v>250</v>
      </c>
      <c r="B313" t="s">
        <v>284</v>
      </c>
      <c r="C313" t="s">
        <v>446</v>
      </c>
    </row>
    <row r="315">
      <c r="A315" t="s">
        <v>493</v>
      </c>
    </row>
    <row r="316">
      <c r="A316" t="s">
        <v>18</v>
      </c>
      <c r="B316" t="s">
        <v>203</v>
      </c>
      <c r="C316" t="s">
        <v>204</v>
      </c>
    </row>
    <row r="317">
      <c r="A317" t="n">
        <v>70</v>
      </c>
      <c r="B317" t="s">
        <v>494</v>
      </c>
      <c r="C317" t="s">
        <v>495</v>
      </c>
    </row>
    <row r="319">
      <c r="A319" t="s">
        <v>496</v>
      </c>
    </row>
    <row r="320">
      <c r="A320" t="s">
        <v>18</v>
      </c>
      <c r="B320" t="s">
        <v>497</v>
      </c>
      <c r="C320" t="s">
        <v>498</v>
      </c>
      <c r="D320" t="s">
        <v>499</v>
      </c>
    </row>
    <row r="321">
      <c r="A321" t="n">
        <v>250</v>
      </c>
      <c r="B321" t="s">
        <v>120</v>
      </c>
      <c r="C321" t="s">
        <v>57</v>
      </c>
      <c r="D321" t="s">
        <v>500</v>
      </c>
    </row>
    <row r="323">
      <c r="A323" t="s">
        <v>501</v>
      </c>
    </row>
    <row r="324">
      <c r="A324" t="s">
        <v>18</v>
      </c>
      <c r="B324" t="s">
        <v>502</v>
      </c>
      <c r="C324" t="s">
        <v>503</v>
      </c>
      <c r="D324" t="s">
        <v>504</v>
      </c>
      <c r="E324" t="s">
        <v>505</v>
      </c>
      <c r="F324" t="s">
        <v>506</v>
      </c>
      <c r="G324" t="s">
        <v>118</v>
      </c>
    </row>
    <row r="325">
      <c r="A325" t="n">
        <v>250</v>
      </c>
      <c r="B325" t="s">
        <v>507</v>
      </c>
      <c r="C325" t="s">
        <v>508</v>
      </c>
      <c r="D325" t="s">
        <v>509</v>
      </c>
      <c r="E325" t="s">
        <v>133</v>
      </c>
      <c r="F325" t="s">
        <v>134</v>
      </c>
      <c r="G325" t="s">
        <v>59</v>
      </c>
    </row>
    <row r="327">
      <c r="A327" t="s">
        <v>510</v>
      </c>
    </row>
    <row r="328">
      <c r="A328" t="s">
        <v>18</v>
      </c>
      <c r="B328" t="s">
        <v>511</v>
      </c>
      <c r="C328" t="s">
        <v>512</v>
      </c>
    </row>
    <row r="329">
      <c r="A329" t="n">
        <v>247</v>
      </c>
      <c r="B329" t="s">
        <v>59</v>
      </c>
      <c r="C329" t="s">
        <v>513</v>
      </c>
    </row>
    <row r="331">
      <c r="A331" t="s">
        <v>514</v>
      </c>
    </row>
    <row r="332">
      <c r="A332" t="s">
        <v>18</v>
      </c>
      <c r="B332" t="s">
        <v>40</v>
      </c>
      <c r="C332" t="s">
        <v>41</v>
      </c>
      <c r="D332" t="s">
        <v>42</v>
      </c>
      <c r="E332" t="s">
        <v>43</v>
      </c>
    </row>
    <row r="333">
      <c r="A333" t="n">
        <v>2</v>
      </c>
      <c r="B333" t="n">
        <v>2</v>
      </c>
      <c r="C333" t="n">
        <v>2</v>
      </c>
      <c r="D333" t="n">
        <v>2</v>
      </c>
      <c r="E333" t="n">
        <v>2</v>
      </c>
    </row>
    <row r="335">
      <c r="A335" t="s">
        <v>515</v>
      </c>
    </row>
    <row r="336">
      <c r="A336" t="s">
        <v>18</v>
      </c>
      <c r="B336" t="s">
        <v>203</v>
      </c>
      <c r="C336" t="s">
        <v>204</v>
      </c>
    </row>
    <row r="337">
      <c r="A337" t="n">
        <v>3</v>
      </c>
      <c r="B337" t="s">
        <v>303</v>
      </c>
      <c r="C337" t="s">
        <v>304</v>
      </c>
    </row>
    <row r="339">
      <c r="A339" t="s">
        <v>516</v>
      </c>
    </row>
    <row r="340">
      <c r="A340" t="s">
        <v>18</v>
      </c>
      <c r="B340" t="s">
        <v>480</v>
      </c>
      <c r="C340" t="s">
        <v>125</v>
      </c>
      <c r="D340" t="s">
        <v>126</v>
      </c>
      <c r="E340" t="s">
        <v>127</v>
      </c>
      <c r="F340" t="s">
        <v>128</v>
      </c>
      <c r="G340" t="s">
        <v>129</v>
      </c>
      <c r="H340" t="s">
        <v>130</v>
      </c>
      <c r="I340" t="s">
        <v>131</v>
      </c>
    </row>
    <row r="341">
      <c r="A341" t="n">
        <v>250</v>
      </c>
      <c r="B341" t="s">
        <v>56</v>
      </c>
      <c r="C341" t="s">
        <v>59</v>
      </c>
      <c r="D341" t="s">
        <v>106</v>
      </c>
      <c r="E341" t="s">
        <v>92</v>
      </c>
      <c r="F341" t="s">
        <v>133</v>
      </c>
      <c r="G341" t="s">
        <v>59</v>
      </c>
      <c r="H341" t="s">
        <v>61</v>
      </c>
      <c r="I341" t="s">
        <v>517</v>
      </c>
    </row>
    <row r="343">
      <c r="A343" t="s">
        <v>518</v>
      </c>
    </row>
    <row r="344">
      <c r="A344" t="s">
        <v>18</v>
      </c>
      <c r="B344" t="s">
        <v>519</v>
      </c>
      <c r="C344" t="s">
        <v>520</v>
      </c>
      <c r="D344" t="s">
        <v>521</v>
      </c>
      <c r="E344" t="s">
        <v>522</v>
      </c>
    </row>
    <row r="345">
      <c r="A345" t="n">
        <v>250</v>
      </c>
      <c r="B345" t="s">
        <v>523</v>
      </c>
      <c r="C345" t="s">
        <v>56</v>
      </c>
      <c r="D345" t="s">
        <v>56</v>
      </c>
      <c r="E345" t="s">
        <v>56</v>
      </c>
    </row>
    <row r="347">
      <c r="A347" t="s">
        <v>524</v>
      </c>
    </row>
    <row r="348">
      <c r="A348" t="s">
        <v>18</v>
      </c>
      <c r="B348" t="s">
        <v>525</v>
      </c>
      <c r="C348" t="s">
        <v>526</v>
      </c>
      <c r="D348" t="s">
        <v>527</v>
      </c>
    </row>
    <row r="349">
      <c r="A349" t="n">
        <v>250</v>
      </c>
      <c r="B349" t="s">
        <v>132</v>
      </c>
      <c r="C349" t="s">
        <v>198</v>
      </c>
      <c r="D349" t="s">
        <v>528</v>
      </c>
    </row>
    <row r="351">
      <c r="A351" t="s">
        <v>529</v>
      </c>
    </row>
    <row r="352">
      <c r="A352" t="s">
        <v>18</v>
      </c>
      <c r="B352" t="s">
        <v>525</v>
      </c>
      <c r="C352" t="s">
        <v>526</v>
      </c>
      <c r="D352" t="s">
        <v>527</v>
      </c>
    </row>
    <row r="353">
      <c r="A353" t="n">
        <v>250</v>
      </c>
      <c r="B353" t="s">
        <v>530</v>
      </c>
      <c r="C353" t="s">
        <v>508</v>
      </c>
      <c r="D353" t="s">
        <v>531</v>
      </c>
    </row>
    <row r="355">
      <c r="A355" t="s">
        <v>532</v>
      </c>
    </row>
    <row r="356">
      <c r="A356" t="s">
        <v>18</v>
      </c>
      <c r="B356" t="s">
        <v>525</v>
      </c>
      <c r="C356" t="s">
        <v>526</v>
      </c>
      <c r="D356" t="s">
        <v>527</v>
      </c>
      <c r="E356" t="s">
        <v>533</v>
      </c>
    </row>
    <row r="357">
      <c r="A357" t="n">
        <v>250</v>
      </c>
      <c r="B357" t="s">
        <v>68</v>
      </c>
      <c r="C357" t="s">
        <v>450</v>
      </c>
      <c r="D357" t="s">
        <v>411</v>
      </c>
      <c r="E357" t="s">
        <v>56</v>
      </c>
    </row>
    <row r="359">
      <c r="A359" t="s">
        <v>534</v>
      </c>
    </row>
    <row r="360">
      <c r="A360" t="s">
        <v>18</v>
      </c>
      <c r="B360" t="s">
        <v>525</v>
      </c>
      <c r="C360" t="s">
        <v>526</v>
      </c>
      <c r="D360" t="s">
        <v>527</v>
      </c>
    </row>
    <row r="361">
      <c r="A361" t="n">
        <v>250</v>
      </c>
      <c r="B361" t="s">
        <v>453</v>
      </c>
      <c r="C361" t="s">
        <v>82</v>
      </c>
      <c r="D361" t="s">
        <v>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536</v>
      </c>
    </row>
    <row r="2">
      <c r="A2" t="s">
        <v>537</v>
      </c>
      <c r="B2" t="s">
        <v>538</v>
      </c>
      <c r="C2" t="s">
        <v>539</v>
      </c>
      <c r="D2" t="s">
        <v>540</v>
      </c>
    </row>
    <row r="3">
      <c r="A3" t="s">
        <v>541</v>
      </c>
      <c r="B3" t="s">
        <v>542</v>
      </c>
      <c r="C3" t="s">
        <v>543</v>
      </c>
      <c r="D3" t="s">
        <v>544</v>
      </c>
    </row>
    <row r="4">
      <c r="A4" t="s">
        <v>545</v>
      </c>
      <c r="B4" t="s">
        <v>546</v>
      </c>
      <c r="C4" t="s">
        <v>547</v>
      </c>
      <c r="D4" t="s">
        <v>548</v>
      </c>
    </row>
    <row r="5">
      <c r="A5" t="s">
        <v>549</v>
      </c>
      <c r="B5" t="s">
        <v>550</v>
      </c>
      <c r="C5" t="s">
        <v>551</v>
      </c>
      <c r="D5" t="s">
        <v>552</v>
      </c>
    </row>
    <row r="7">
      <c r="A7" t="s">
        <v>553</v>
      </c>
    </row>
    <row r="8">
      <c r="A8" t="s">
        <v>215</v>
      </c>
      <c r="B8" t="s">
        <v>554</v>
      </c>
      <c r="C8" t="s">
        <v>555</v>
      </c>
      <c r="D8" t="s">
        <v>556</v>
      </c>
      <c r="E8" t="s">
        <v>557</v>
      </c>
      <c r="F8" t="s">
        <v>558</v>
      </c>
      <c r="G8" t="s">
        <v>559</v>
      </c>
    </row>
    <row r="9">
      <c r="A9" t="s">
        <v>560</v>
      </c>
      <c r="B9" t="n">
        <v>109</v>
      </c>
      <c r="C9" t="s">
        <v>561</v>
      </c>
      <c r="D9" t="s">
        <v>562</v>
      </c>
      <c r="E9" t="s">
        <v>563</v>
      </c>
      <c r="F9" t="s">
        <v>564</v>
      </c>
      <c r="G9" t="s">
        <v>565</v>
      </c>
    </row>
    <row r="10">
      <c r="A10" t="s">
        <v>566</v>
      </c>
      <c r="B10" t="n">
        <v>78</v>
      </c>
      <c r="C10" t="s">
        <v>567</v>
      </c>
      <c r="D10" t="s">
        <v>568</v>
      </c>
      <c r="E10" t="s">
        <v>569</v>
      </c>
      <c r="F10" t="s">
        <v>570</v>
      </c>
      <c r="G10" t="s">
        <v>565</v>
      </c>
    </row>
    <row r="11">
      <c r="A11" t="s">
        <v>571</v>
      </c>
      <c r="B11" t="n">
        <v>79</v>
      </c>
      <c r="C11" t="s">
        <v>572</v>
      </c>
      <c r="D11" t="s">
        <v>573</v>
      </c>
      <c r="E11" t="s">
        <v>573</v>
      </c>
      <c r="F11" t="s">
        <v>574</v>
      </c>
      <c r="G11" t="s">
        <v>565</v>
      </c>
    </row>
    <row r="12">
      <c r="A12" t="s">
        <v>575</v>
      </c>
      <c r="B12" t="n">
        <v>69</v>
      </c>
      <c r="C12" t="s">
        <v>576</v>
      </c>
      <c r="D12" t="s">
        <v>576</v>
      </c>
      <c r="E12" t="s">
        <v>577</v>
      </c>
      <c r="F12" t="s">
        <v>578</v>
      </c>
      <c r="G12" t="s">
        <v>565</v>
      </c>
    </row>
    <row r="13">
      <c r="A13" t="s">
        <v>579</v>
      </c>
      <c r="B13" t="n">
        <v>26</v>
      </c>
      <c r="C13" t="s">
        <v>580</v>
      </c>
      <c r="D13" t="s">
        <v>581</v>
      </c>
      <c r="E13" t="s">
        <v>581</v>
      </c>
      <c r="F13" t="s">
        <v>582</v>
      </c>
      <c r="G13" t="s">
        <v>565</v>
      </c>
    </row>
    <row r="15">
      <c r="A15" t="s">
        <v>583</v>
      </c>
    </row>
    <row r="16">
      <c r="A16" t="s">
        <v>537</v>
      </c>
      <c r="B16" t="s">
        <v>538</v>
      </c>
      <c r="C16" t="s">
        <v>539</v>
      </c>
      <c r="D16" t="s">
        <v>540</v>
      </c>
    </row>
    <row r="17">
      <c r="A17" t="s">
        <v>584</v>
      </c>
      <c r="B17" t="s">
        <v>585</v>
      </c>
      <c r="C17" t="s">
        <v>586</v>
      </c>
      <c r="D17" t="s">
        <v>587</v>
      </c>
    </row>
    <row r="18">
      <c r="A18" t="s">
        <v>588</v>
      </c>
      <c r="B18" t="s">
        <v>589</v>
      </c>
      <c r="C18" t="s">
        <v>590</v>
      </c>
      <c r="D18" t="s">
        <v>591</v>
      </c>
    </row>
    <row r="19">
      <c r="A19" t="s">
        <v>592</v>
      </c>
      <c r="B19" t="s">
        <v>593</v>
      </c>
      <c r="C19" t="s">
        <v>594</v>
      </c>
      <c r="D19" t="s">
        <v>595</v>
      </c>
    </row>
    <row r="21">
      <c r="A21" t="s">
        <v>596</v>
      </c>
    </row>
    <row r="22">
      <c r="A22" t="s">
        <v>597</v>
      </c>
      <c r="B22" t="s">
        <v>598</v>
      </c>
      <c r="C22" t="s">
        <v>599</v>
      </c>
      <c r="D22" t="s">
        <v>600</v>
      </c>
    </row>
    <row r="23">
      <c r="A23" t="s">
        <v>601</v>
      </c>
      <c r="B23" t="n">
        <v>14.0973407202216</v>
      </c>
      <c r="C23" t="n">
        <v>13.95</v>
      </c>
      <c r="D23" t="n">
        <v>14.24</v>
      </c>
    </row>
    <row r="24">
      <c r="A24" t="s">
        <v>602</v>
      </c>
      <c r="B24" t="n">
        <v>-0.931703910614525</v>
      </c>
      <c r="C24" t="n">
        <v>-1.04</v>
      </c>
      <c r="D24" t="n">
        <v>-0.82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Abraham AZAR</cp:lastModifiedBy>
  <cp:lastPrinted>2021-09-29T17:58:39Z</cp:lastPrinted>
  <dcterms:created xsi:type="dcterms:W3CDTF">2014-05-22T21:28:30Z</dcterms:created>
  <dcterms:modified xsi:type="dcterms:W3CDTF">2024-02-28T13:41:02Z</dcterms:modified>
</cp:coreProperties>
</file>